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5B581B6-EC26-4A75-8B4B-022A14660C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dit Plan &amp; Schedule" sheetId="4" r:id="rId1"/>
  </sheets>
  <definedNames>
    <definedName name="_xlnm._FilterDatabase" localSheetId="0" hidden="1">'Audit Plan &amp; Schedule'!$A$6:$J$38</definedName>
    <definedName name="master">#REF!</definedName>
    <definedName name="_xlnm.Print_Area" localSheetId="0">'Audit Plan &amp; Schedule'!$A$1:$J$38</definedName>
    <definedName name="_xlnm.Print_Titles" localSheetId="0">'Audit Plan &amp; Schedule'!$1:$6</definedName>
    <definedName name="Z_6231DA2B_5806_47DD_973E_58F51740F85A_.wvu.PrintArea" localSheetId="0" hidden="1">'Audit Plan &amp; Schedule'!$A$1:$I$34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4" l="1"/>
  <c r="O36" i="4"/>
  <c r="N37" i="4"/>
  <c r="O37" i="4"/>
  <c r="N27" i="4"/>
  <c r="O27" i="4"/>
  <c r="N35" i="4"/>
  <c r="O35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8" i="4"/>
  <c r="O29" i="4"/>
  <c r="O30" i="4"/>
  <c r="O31" i="4"/>
  <c r="O32" i="4"/>
  <c r="O33" i="4"/>
  <c r="O34" i="4"/>
  <c r="O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8" i="4"/>
  <c r="N29" i="4"/>
  <c r="N30" i="4"/>
  <c r="N31" i="4"/>
  <c r="N32" i="4"/>
  <c r="N33" i="4"/>
  <c r="N34" i="4"/>
  <c r="N10" i="4"/>
  <c r="P37" i="4" l="1"/>
  <c r="P27" i="4"/>
  <c r="P35" i="4"/>
  <c r="P13" i="4"/>
  <c r="P36" i="4"/>
  <c r="P11" i="4"/>
  <c r="P14" i="4"/>
  <c r="P12" i="4"/>
  <c r="P26" i="4"/>
  <c r="P25" i="4"/>
  <c r="P24" i="4"/>
  <c r="P23" i="4"/>
  <c r="P10" i="4"/>
  <c r="P22" i="4"/>
  <c r="P34" i="4"/>
  <c r="P21" i="4"/>
  <c r="P33" i="4"/>
  <c r="P20" i="4"/>
  <c r="P32" i="4"/>
  <c r="P19" i="4"/>
  <c r="P31" i="4"/>
  <c r="P18" i="4"/>
  <c r="P30" i="4"/>
  <c r="P17" i="4"/>
  <c r="P29" i="4"/>
  <c r="P16" i="4"/>
  <c r="P28" i="4"/>
  <c r="P15" i="4"/>
</calcChain>
</file>

<file path=xl/sharedStrings.xml><?xml version="1.0" encoding="utf-8"?>
<sst xmlns="http://schemas.openxmlformats.org/spreadsheetml/2006/main" count="277" uniqueCount="115">
  <si>
    <t>Function</t>
  </si>
  <si>
    <t>MR</t>
  </si>
  <si>
    <t>HR</t>
  </si>
  <si>
    <t>EHS</t>
  </si>
  <si>
    <t>Auditee</t>
  </si>
  <si>
    <t>Auditor</t>
  </si>
  <si>
    <t>INTEGRATED MANAGEMENT SYSTEM</t>
  </si>
  <si>
    <t>Sl. No</t>
  </si>
  <si>
    <t>Sub function</t>
  </si>
  <si>
    <t>Date</t>
  </si>
  <si>
    <t>Time Duration</t>
  </si>
  <si>
    <t>Status</t>
  </si>
  <si>
    <t>ISO 9001:2015
ISO 14001:2015
ISO 45001:2018</t>
  </si>
  <si>
    <t>Audit method : Policy deployment, document review, Records verification, Interview with people, looking for evidence physically, check linkages / interaction with other processes and other suitable methods.</t>
  </si>
  <si>
    <t>Prepared by</t>
  </si>
  <si>
    <t>Reviewed by</t>
  </si>
  <si>
    <t>Approved by</t>
  </si>
  <si>
    <t>Signature</t>
  </si>
  <si>
    <t>Name</t>
  </si>
  <si>
    <t>Designation</t>
  </si>
  <si>
    <t>As per availability of Auditee &amp; Auditor</t>
  </si>
  <si>
    <t>Planned</t>
  </si>
  <si>
    <t>Production - HOT END</t>
  </si>
  <si>
    <t>Production - COLD END</t>
  </si>
  <si>
    <t>LABORATORY</t>
  </si>
  <si>
    <t>UTILITY</t>
  </si>
  <si>
    <t>Mr. Sandip Sain</t>
  </si>
  <si>
    <t>Mr. Krishna Prasad</t>
  </si>
  <si>
    <t>Mr. Harendra Singh</t>
  </si>
  <si>
    <t>Mr. Shailesh Kaviwala</t>
  </si>
  <si>
    <t>Mr. Bharat Panchal</t>
  </si>
  <si>
    <t>Mr. Ravi Srivastav</t>
  </si>
  <si>
    <t>Mr. Shravan Kapri</t>
  </si>
  <si>
    <t>Mr. Avdesh Yadav
Mr. Dayanand Patel</t>
  </si>
  <si>
    <t>Mr. Raju Ghoshal</t>
  </si>
  <si>
    <t>Mr. Ashwin Gohil</t>
  </si>
  <si>
    <t>Mr. Naresh Kumar</t>
  </si>
  <si>
    <t>Mr. Pruthul Patel</t>
  </si>
  <si>
    <t>Mr. Kiran Mahajan</t>
  </si>
  <si>
    <t>Mr. Kamlesh Sharma</t>
  </si>
  <si>
    <t>Mr. Nirav Patel</t>
  </si>
  <si>
    <t>Mr. Vipul Patel</t>
  </si>
  <si>
    <t>Mr. Rajesh Patel</t>
  </si>
  <si>
    <t>Mr. Amit Mishra</t>
  </si>
  <si>
    <t>Mr. Vijay Shukla</t>
  </si>
  <si>
    <t>Mr. Srinivas Panda</t>
  </si>
  <si>
    <t>Mr. Siddharth Chhakrawar</t>
  </si>
  <si>
    <t>Mr. Sumit Garg</t>
  </si>
  <si>
    <t>Mr. Chhayank Dave</t>
  </si>
  <si>
    <t>BOX YARD</t>
  </si>
  <si>
    <t>STORES</t>
  </si>
  <si>
    <t>WAREHOUSE</t>
  </si>
  <si>
    <t>ELECTRICAL</t>
  </si>
  <si>
    <t>INSTRUMENTATION</t>
  </si>
  <si>
    <t>ENVIRONMENT, HEALTH AND SAFETY</t>
  </si>
  <si>
    <t>PURCHASE</t>
  </si>
  <si>
    <t>ADMIN</t>
  </si>
  <si>
    <t>ADMIN, SECURITY AND CANTEEN</t>
  </si>
  <si>
    <t>MARKETING</t>
  </si>
  <si>
    <t>PRODUCTION PLANNING</t>
  </si>
  <si>
    <t>TOP MANAGEMENT</t>
  </si>
  <si>
    <t>QUALITY CONTROL</t>
  </si>
  <si>
    <t>FINAL PACKING</t>
  </si>
  <si>
    <t>TEMPERING</t>
  </si>
  <si>
    <t>AR COATING</t>
  </si>
  <si>
    <t>DRILLING</t>
  </si>
  <si>
    <t>GRID PRINTING</t>
  </si>
  <si>
    <t>GRINDING</t>
  </si>
  <si>
    <t>ANNEALED PACKING &amp; WIP</t>
  </si>
  <si>
    <t>LEHR &amp; CUTTING</t>
  </si>
  <si>
    <t>ROLLING MACHINE</t>
  </si>
  <si>
    <t>FURNACE</t>
  </si>
  <si>
    <t>BATCH HOUSE</t>
  </si>
  <si>
    <t>QUALITY</t>
  </si>
  <si>
    <t>WAREHOUSE &amp; DISPATCH</t>
  </si>
  <si>
    <t>MECHANICAL &amp; WORKSHOP</t>
  </si>
  <si>
    <t>HUMAN RESOURCE &amp; L&amp;D</t>
  </si>
  <si>
    <t>List of certified IMS Internal Auditor</t>
  </si>
  <si>
    <t>Sr.No</t>
  </si>
  <si>
    <t xml:space="preserve">Name </t>
  </si>
  <si>
    <t>Mr. Hiren Dodiya</t>
  </si>
  <si>
    <t>INTERNAL AUDIT PLAN - OCT 2025</t>
  </si>
  <si>
    <t>Mr. Rakesh Gohil</t>
  </si>
  <si>
    <t>Mr. Rajesh Joshi</t>
  </si>
  <si>
    <t>Mr. Mehul R Patel</t>
  </si>
  <si>
    <t>Mr. Dhanush J</t>
  </si>
  <si>
    <t>Mr. Kapil Kumar</t>
  </si>
  <si>
    <t>Mr. Nirav Patel (EHS)</t>
  </si>
  <si>
    <t xml:space="preserve">Mr. Ravindra Gohil </t>
  </si>
  <si>
    <t>Mr. Priyajit Datta</t>
  </si>
  <si>
    <t>Mr. Jaswant Rana</t>
  </si>
  <si>
    <t>Mr. Harshal Suthar</t>
  </si>
  <si>
    <t>Mr. Vishal Soni</t>
  </si>
  <si>
    <t>Mr. H S Bedi</t>
  </si>
  <si>
    <t>Mr. Ajit Sindha</t>
  </si>
  <si>
    <t>Mr. Jignesh Patel</t>
  </si>
  <si>
    <t>Mr. Prajesh Patel</t>
  </si>
  <si>
    <t>Auditor 2</t>
  </si>
  <si>
    <t>Mr. Vimal Bhatt</t>
  </si>
  <si>
    <t>Mr. C K Parmar</t>
  </si>
  <si>
    <t>Mr. Nirav Patel (Mech)</t>
  </si>
  <si>
    <t>Mr. Ravindra Gohil</t>
  </si>
  <si>
    <t>Auditor 1</t>
  </si>
  <si>
    <t>Rev. Date: 06.10.2025</t>
  </si>
  <si>
    <t>Issue No/Date:  01/01-04-18</t>
  </si>
  <si>
    <t>Rev. No.:  01</t>
  </si>
  <si>
    <t>Doc. No.:  MR/L4/004</t>
  </si>
  <si>
    <t>MR/L4/004</t>
  </si>
  <si>
    <t>AGM - Quality</t>
  </si>
  <si>
    <t>Sr. Officer - Quality</t>
  </si>
  <si>
    <t>MAINTENANCE</t>
  </si>
  <si>
    <t>PLANNING</t>
  </si>
  <si>
    <t>Scope</t>
  </si>
  <si>
    <t>Mr. Anuj Patel
Mr. Pranav Patel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</si>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</sst>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0"/>
      <name val="Times New Roman"/>
      <family val="1"/>
    </font>
    <font>
      <sz val="14"/>
      <name val="Calibri"/>
      <family val="2"/>
    </font>
    <font>
      <sz val="10"/>
      <name val="Arial"/>
      <family val="2"/>
    </font>
    <font>
      <b/>
      <sz val="14"/>
      <name val="Calibri"/>
      <family val="2"/>
    </font>
    <font>
      <sz val="14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</font>
    <font>
      <sz val="11"/>
      <color rgb="FFFFFF00"/>
      <name val="Calibri"/>
      <family val="2"/>
      <scheme val="minor"/>
    </font>
    <font>
      <sz val="12"/>
      <color rgb="FFFFFF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4" fillId="0" borderId="0"/>
  </cellStyleXfs>
  <cellXfs count="90">
    <xf numFmtId="0" fontId="0" fillId="0" borderId="0" xfId="0"/>
    <xf numFmtId="0" fontId="5" fillId="0" borderId="6" xfId="1" applyFont="1" applyBorder="1" applyAlignment="1">
      <alignment vertical="center" wrapText="1"/>
    </xf>
    <xf numFmtId="0" fontId="6" fillId="0" borderId="0" xfId="3" applyFont="1"/>
    <xf numFmtId="0" fontId="5" fillId="0" borderId="8" xfId="1" applyFont="1" applyBorder="1" applyAlignment="1">
      <alignment vertical="center" wrapText="1"/>
    </xf>
    <xf numFmtId="0" fontId="7" fillId="0" borderId="0" xfId="3" applyFont="1"/>
    <xf numFmtId="0" fontId="8" fillId="0" borderId="0" xfId="3" applyFont="1"/>
    <xf numFmtId="0" fontId="4" fillId="0" borderId="0" xfId="3"/>
    <xf numFmtId="0" fontId="10" fillId="0" borderId="0" xfId="3" applyFont="1" applyAlignment="1">
      <alignment horizontal="center"/>
    </xf>
    <xf numFmtId="0" fontId="4" fillId="0" borderId="0" xfId="3" applyAlignment="1">
      <alignment horizontal="center" vertical="center"/>
    </xf>
    <xf numFmtId="0" fontId="4" fillId="0" borderId="0" xfId="3" applyAlignment="1">
      <alignment horizontal="center"/>
    </xf>
    <xf numFmtId="0" fontId="7" fillId="4" borderId="0" xfId="3" applyFont="1" applyFill="1"/>
    <xf numFmtId="0" fontId="8" fillId="4" borderId="0" xfId="3" applyFont="1" applyFill="1"/>
    <xf numFmtId="0" fontId="0" fillId="0" borderId="3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5" fillId="3" borderId="4" xfId="3" applyFont="1" applyFill="1" applyBorder="1" applyAlignment="1">
      <alignment horizontal="center" vertical="center" wrapText="1"/>
    </xf>
    <xf numFmtId="0" fontId="5" fillId="3" borderId="5" xfId="3" applyFont="1" applyFill="1" applyBorder="1" applyAlignment="1">
      <alignment horizontal="center" vertical="center" wrapText="1"/>
    </xf>
    <xf numFmtId="0" fontId="5" fillId="3" borderId="5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 vertical="center" wrapText="1"/>
    </xf>
    <xf numFmtId="0" fontId="5" fillId="0" borderId="13" xfId="1" applyFont="1" applyBorder="1" applyAlignment="1">
      <alignment vertical="center" wrapText="1"/>
    </xf>
    <xf numFmtId="0" fontId="15" fillId="5" borderId="3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7" fillId="6" borderId="7" xfId="3" applyFont="1" applyFill="1" applyBorder="1" applyAlignment="1">
      <alignment horizontal="center" vertical="center"/>
    </xf>
    <xf numFmtId="0" fontId="7" fillId="6" borderId="3" xfId="3" applyFont="1" applyFill="1" applyBorder="1" applyAlignment="1">
      <alignment horizontal="center" vertical="center" wrapText="1"/>
    </xf>
    <xf numFmtId="15" fontId="7" fillId="6" borderId="3" xfId="3" applyNumberFormat="1" applyFont="1" applyFill="1" applyBorder="1" applyAlignment="1">
      <alignment horizontal="center" vertical="center" wrapText="1"/>
    </xf>
    <xf numFmtId="0" fontId="7" fillId="6" borderId="8" xfId="3" applyFont="1" applyFill="1" applyBorder="1" applyAlignment="1">
      <alignment horizontal="center" vertical="center" wrapText="1"/>
    </xf>
    <xf numFmtId="0" fontId="7" fillId="7" borderId="7" xfId="3" applyFont="1" applyFill="1" applyBorder="1" applyAlignment="1">
      <alignment horizontal="center" vertical="center"/>
    </xf>
    <xf numFmtId="0" fontId="7" fillId="7" borderId="3" xfId="3" applyFont="1" applyFill="1" applyBorder="1" applyAlignment="1">
      <alignment horizontal="center" vertical="center" wrapText="1"/>
    </xf>
    <xf numFmtId="15" fontId="7" fillId="7" borderId="3" xfId="3" applyNumberFormat="1" applyFont="1" applyFill="1" applyBorder="1" applyAlignment="1">
      <alignment horizontal="center" vertical="center" wrapText="1"/>
    </xf>
    <xf numFmtId="0" fontId="7" fillId="7" borderId="8" xfId="3" applyFont="1" applyFill="1" applyBorder="1" applyAlignment="1">
      <alignment horizontal="center" vertical="center" wrapText="1"/>
    </xf>
    <xf numFmtId="0" fontId="7" fillId="7" borderId="11" xfId="3" applyFont="1" applyFill="1" applyBorder="1" applyAlignment="1">
      <alignment horizontal="center" vertical="center"/>
    </xf>
    <xf numFmtId="0" fontId="7" fillId="7" borderId="12" xfId="3" applyFont="1" applyFill="1" applyBorder="1" applyAlignment="1">
      <alignment horizontal="center" vertical="center" wrapText="1"/>
    </xf>
    <xf numFmtId="0" fontId="7" fillId="7" borderId="13" xfId="3" applyFont="1" applyFill="1" applyBorder="1" applyAlignment="1">
      <alignment horizontal="center" vertical="center" wrapText="1"/>
    </xf>
    <xf numFmtId="0" fontId="7" fillId="7" borderId="3" xfId="3" applyFont="1" applyFill="1" applyBorder="1" applyAlignment="1">
      <alignment horizontal="center" vertical="center"/>
    </xf>
    <xf numFmtId="0" fontId="7" fillId="7" borderId="10" xfId="3" applyFont="1" applyFill="1" applyBorder="1" applyAlignment="1">
      <alignment horizontal="center" vertical="center"/>
    </xf>
    <xf numFmtId="15" fontId="7" fillId="7" borderId="12" xfId="3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4" xfId="2" applyFont="1" applyBorder="1" applyAlignment="1">
      <alignment horizontal="center" vertical="center"/>
    </xf>
    <xf numFmtId="0" fontId="9" fillId="2" borderId="20" xfId="3" applyFont="1" applyFill="1" applyBorder="1" applyAlignment="1">
      <alignment horizontal="center" vertical="center"/>
    </xf>
    <xf numFmtId="0" fontId="9" fillId="2" borderId="14" xfId="3" applyFont="1" applyFill="1" applyBorder="1" applyAlignment="1">
      <alignment horizontal="center" vertical="center"/>
    </xf>
    <xf numFmtId="0" fontId="9" fillId="2" borderId="21" xfId="3" applyFont="1" applyFill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9" fillId="0" borderId="15" xfId="3" applyFont="1" applyBorder="1" applyAlignment="1">
      <alignment horizontal="center" vertical="center"/>
    </xf>
    <xf numFmtId="0" fontId="4" fillId="0" borderId="0" xfId="3" applyAlignment="1">
      <alignment horizontal="center"/>
    </xf>
    <xf numFmtId="0" fontId="9" fillId="0" borderId="7" xfId="3" applyFont="1" applyBorder="1" applyAlignment="1">
      <alignment horizontal="right" vertical="center"/>
    </xf>
    <xf numFmtId="0" fontId="9" fillId="0" borderId="3" xfId="3" applyFont="1" applyBorder="1" applyAlignment="1">
      <alignment horizontal="right" vertical="center"/>
    </xf>
    <xf numFmtId="0" fontId="9" fillId="0" borderId="3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9" fillId="0" borderId="11" xfId="3" applyFont="1" applyBorder="1" applyAlignment="1">
      <alignment horizontal="right" vertical="center"/>
    </xf>
    <xf numFmtId="0" fontId="9" fillId="0" borderId="12" xfId="3" applyFont="1" applyBorder="1" applyAlignment="1">
      <alignment horizontal="right" vertical="center"/>
    </xf>
    <xf numFmtId="0" fontId="9" fillId="0" borderId="12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5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9" fillId="2" borderId="4" xfId="3" applyFont="1" applyFill="1" applyBorder="1" applyAlignment="1">
      <alignment horizontal="right" vertical="center" indent="2"/>
    </xf>
    <xf numFmtId="0" fontId="9" fillId="2" borderId="5" xfId="3" applyFont="1" applyFill="1" applyBorder="1" applyAlignment="1">
      <alignment horizontal="right" vertical="center" indent="2"/>
    </xf>
    <xf numFmtId="0" fontId="9" fillId="2" borderId="5" xfId="3" applyFont="1" applyFill="1" applyBorder="1" applyAlignment="1">
      <alignment horizontal="center" vertical="center"/>
    </xf>
    <xf numFmtId="0" fontId="9" fillId="2" borderId="6" xfId="3" applyFont="1" applyFill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9" fillId="0" borderId="26" xfId="3" applyFont="1" applyBorder="1" applyAlignment="1">
      <alignment horizontal="left" vertical="center" wrapText="1"/>
    </xf>
    <xf numFmtId="0" fontId="9" fillId="0" borderId="27" xfId="3" applyFont="1" applyBorder="1" applyAlignment="1">
      <alignment horizontal="left" vertical="center" wrapText="1"/>
    </xf>
    <xf numFmtId="0" fontId="9" fillId="0" borderId="28" xfId="3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14" fillId="2" borderId="5" xfId="2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horizontal="center" vertical="center"/>
    </xf>
    <xf numFmtId="0" fontId="5" fillId="0" borderId="29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16" fontId="8" fillId="0" borderId="0" xfId="3" applyNumberFormat="1" applyFont="1"/>
  </cellXfs>
  <cellStyles count="4">
    <cellStyle name="Normal" xfId="0" builtinId="0"/>
    <cellStyle name="Normal 2" xfId="2" xr:uid="{00000000-0005-0000-0000-000001000000}"/>
    <cellStyle name="Normal_EMS ACTIVITY REPORT" xfId="3" xr:uid="{00000000-0005-0000-0000-000002000000}"/>
    <cellStyle name="Normal_SGGI-FOR-04-ANNUAL AUDIT PLAN_2009" xfId="1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3114675</xdr:colOff>
      <xdr:row>34</xdr:row>
      <xdr:rowOff>0</xdr:rowOff>
    </xdr:from>
    <xdr:to>
      <xdr:col>4</xdr:col>
      <xdr:colOff>247650</xdr:colOff>
      <xdr:row>34</xdr:row>
      <xdr:rowOff>0</xdr:rowOff>
    </xdr:to>
    <xdr:sp macro="" textlink="">
      <xdr:nvSpPr>
        <xdr:cNvPr id="2" name="Rectangl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505575" y="12544425"/>
          <a:ext cx="247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123825</xdr:colOff>
          <xdr:row>0</xdr:row>
          <xdr:rowOff>66675</xdr:rowOff>
        </xdr:from>
        <xdr:to>
          <xdr:col>1</xdr:col>
          <xdr:colOff>1809750</xdr:colOff>
          <xdr:row>3</xdr:row>
          <xdr:rowOff>238125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view="pageBreakPreview" zoomScale="70" zoomScaleNormal="64" zoomScaleSheetLayoutView="70" workbookViewId="0">
      <pane ySplit="6" topLeftCell="A27" activePane="bottomLeft" state="frozen"/>
      <selection pane="bottomLeft" activeCell="J6" sqref="J6"/>
    </sheetView>
  </sheetViews>
  <sheetFormatPr defaultRowHeight="12.75" x14ac:dyDescent="0.2"/>
  <cols>
    <col min="1" max="1" width="9.28515625" style="9" customWidth="1"/>
    <col min="2" max="2" width="23.140625" style="9" bestFit="1" customWidth="1"/>
    <col min="3" max="3" width="27.7109375" style="9" customWidth="1"/>
    <col min="4" max="4" width="15.28515625" style="7" customWidth="1"/>
    <col min="5" max="5" width="18.85546875" style="7" bestFit="1" customWidth="1"/>
    <col min="6" max="6" width="26.85546875" style="7" customWidth="1"/>
    <col min="7" max="8" width="23" style="7" bestFit="1" customWidth="1"/>
    <col min="9" max="9" width="16.7109375" style="8" bestFit="1" customWidth="1"/>
    <col min="10" max="10" width="35.28515625" style="9" customWidth="1"/>
    <col min="11" max="11" width="9.140625" style="6"/>
    <col min="12" max="12" width="6.85546875" style="6" hidden="1" customWidth="1"/>
    <col min="13" max="13" width="23.5703125" style="6" hidden="1" customWidth="1"/>
    <col min="14" max="14" width="22.85546875" style="6" hidden="1" customWidth="1"/>
    <col min="15" max="16" width="0" style="6" hidden="1" customWidth="1"/>
    <col min="17" max="252" width="9.140625" style="6"/>
    <col min="253" max="253" width="9.28515625" style="6" customWidth="1"/>
    <col min="254" max="254" width="42.28515625" style="6" customWidth="1"/>
    <col min="255" max="255" width="32.5703125" style="6" customWidth="1"/>
    <col min="256" max="256" width="13.42578125" style="6" customWidth="1"/>
    <col min="257" max="257" width="14.85546875" style="6" customWidth="1"/>
    <col min="258" max="258" width="26.85546875" style="6" customWidth="1"/>
    <col min="259" max="259" width="32.42578125" style="6" customWidth="1"/>
    <col min="260" max="260" width="24.5703125" style="6" customWidth="1"/>
    <col min="261" max="261" width="35.28515625" style="6" customWidth="1"/>
    <col min="262" max="508" width="9.140625" style="6"/>
    <col min="509" max="509" width="9.28515625" style="6" customWidth="1"/>
    <col min="510" max="510" width="42.28515625" style="6" customWidth="1"/>
    <col min="511" max="511" width="32.5703125" style="6" customWidth="1"/>
    <col min="512" max="512" width="13.42578125" style="6" customWidth="1"/>
    <col min="513" max="513" width="14.85546875" style="6" customWidth="1"/>
    <col min="514" max="514" width="26.85546875" style="6" customWidth="1"/>
    <col min="515" max="515" width="32.42578125" style="6" customWidth="1"/>
    <col min="516" max="516" width="24.5703125" style="6" customWidth="1"/>
    <col min="517" max="517" width="35.28515625" style="6" customWidth="1"/>
    <col min="518" max="764" width="9.140625" style="6"/>
    <col min="765" max="765" width="9.28515625" style="6" customWidth="1"/>
    <col min="766" max="766" width="42.28515625" style="6" customWidth="1"/>
    <col min="767" max="767" width="32.5703125" style="6" customWidth="1"/>
    <col min="768" max="768" width="13.42578125" style="6" customWidth="1"/>
    <col min="769" max="769" width="14.85546875" style="6" customWidth="1"/>
    <col min="770" max="770" width="26.85546875" style="6" customWidth="1"/>
    <col min="771" max="771" width="32.42578125" style="6" customWidth="1"/>
    <col min="772" max="772" width="24.5703125" style="6" customWidth="1"/>
    <col min="773" max="773" width="35.28515625" style="6" customWidth="1"/>
    <col min="774" max="1020" width="9.140625" style="6"/>
    <col min="1021" max="1021" width="9.28515625" style="6" customWidth="1"/>
    <col min="1022" max="1022" width="42.28515625" style="6" customWidth="1"/>
    <col min="1023" max="1023" width="32.5703125" style="6" customWidth="1"/>
    <col min="1024" max="1024" width="13.42578125" style="6" customWidth="1"/>
    <col min="1025" max="1025" width="14.85546875" style="6" customWidth="1"/>
    <col min="1026" max="1026" width="26.85546875" style="6" customWidth="1"/>
    <col min="1027" max="1027" width="32.42578125" style="6" customWidth="1"/>
    <col min="1028" max="1028" width="24.5703125" style="6" customWidth="1"/>
    <col min="1029" max="1029" width="35.28515625" style="6" customWidth="1"/>
    <col min="1030" max="1276" width="9.140625" style="6"/>
    <col min="1277" max="1277" width="9.28515625" style="6" customWidth="1"/>
    <col min="1278" max="1278" width="42.28515625" style="6" customWidth="1"/>
    <col min="1279" max="1279" width="32.5703125" style="6" customWidth="1"/>
    <col min="1280" max="1280" width="13.42578125" style="6" customWidth="1"/>
    <col min="1281" max="1281" width="14.85546875" style="6" customWidth="1"/>
    <col min="1282" max="1282" width="26.85546875" style="6" customWidth="1"/>
    <col min="1283" max="1283" width="32.42578125" style="6" customWidth="1"/>
    <col min="1284" max="1284" width="24.5703125" style="6" customWidth="1"/>
    <col min="1285" max="1285" width="35.28515625" style="6" customWidth="1"/>
    <col min="1286" max="1532" width="9.140625" style="6"/>
    <col min="1533" max="1533" width="9.28515625" style="6" customWidth="1"/>
    <col min="1534" max="1534" width="42.28515625" style="6" customWidth="1"/>
    <col min="1535" max="1535" width="32.5703125" style="6" customWidth="1"/>
    <col min="1536" max="1536" width="13.42578125" style="6" customWidth="1"/>
    <col min="1537" max="1537" width="14.85546875" style="6" customWidth="1"/>
    <col min="1538" max="1538" width="26.85546875" style="6" customWidth="1"/>
    <col min="1539" max="1539" width="32.42578125" style="6" customWidth="1"/>
    <col min="1540" max="1540" width="24.5703125" style="6" customWidth="1"/>
    <col min="1541" max="1541" width="35.28515625" style="6" customWidth="1"/>
    <col min="1542" max="1788" width="9.140625" style="6"/>
    <col min="1789" max="1789" width="9.28515625" style="6" customWidth="1"/>
    <col min="1790" max="1790" width="42.28515625" style="6" customWidth="1"/>
    <col min="1791" max="1791" width="32.5703125" style="6" customWidth="1"/>
    <col min="1792" max="1792" width="13.42578125" style="6" customWidth="1"/>
    <col min="1793" max="1793" width="14.85546875" style="6" customWidth="1"/>
    <col min="1794" max="1794" width="26.85546875" style="6" customWidth="1"/>
    <col min="1795" max="1795" width="32.42578125" style="6" customWidth="1"/>
    <col min="1796" max="1796" width="24.5703125" style="6" customWidth="1"/>
    <col min="1797" max="1797" width="35.28515625" style="6" customWidth="1"/>
    <col min="1798" max="2044" width="9.140625" style="6"/>
    <col min="2045" max="2045" width="9.28515625" style="6" customWidth="1"/>
    <col min="2046" max="2046" width="42.28515625" style="6" customWidth="1"/>
    <col min="2047" max="2047" width="32.5703125" style="6" customWidth="1"/>
    <col min="2048" max="2048" width="13.42578125" style="6" customWidth="1"/>
    <col min="2049" max="2049" width="14.85546875" style="6" customWidth="1"/>
    <col min="2050" max="2050" width="26.85546875" style="6" customWidth="1"/>
    <col min="2051" max="2051" width="32.42578125" style="6" customWidth="1"/>
    <col min="2052" max="2052" width="24.5703125" style="6" customWidth="1"/>
    <col min="2053" max="2053" width="35.28515625" style="6" customWidth="1"/>
    <col min="2054" max="2300" width="9.140625" style="6"/>
    <col min="2301" max="2301" width="9.28515625" style="6" customWidth="1"/>
    <col min="2302" max="2302" width="42.28515625" style="6" customWidth="1"/>
    <col min="2303" max="2303" width="32.5703125" style="6" customWidth="1"/>
    <col min="2304" max="2304" width="13.42578125" style="6" customWidth="1"/>
    <col min="2305" max="2305" width="14.85546875" style="6" customWidth="1"/>
    <col min="2306" max="2306" width="26.85546875" style="6" customWidth="1"/>
    <col min="2307" max="2307" width="32.42578125" style="6" customWidth="1"/>
    <col min="2308" max="2308" width="24.5703125" style="6" customWidth="1"/>
    <col min="2309" max="2309" width="35.28515625" style="6" customWidth="1"/>
    <col min="2310" max="2556" width="9.140625" style="6"/>
    <col min="2557" max="2557" width="9.28515625" style="6" customWidth="1"/>
    <col min="2558" max="2558" width="42.28515625" style="6" customWidth="1"/>
    <col min="2559" max="2559" width="32.5703125" style="6" customWidth="1"/>
    <col min="2560" max="2560" width="13.42578125" style="6" customWidth="1"/>
    <col min="2561" max="2561" width="14.85546875" style="6" customWidth="1"/>
    <col min="2562" max="2562" width="26.85546875" style="6" customWidth="1"/>
    <col min="2563" max="2563" width="32.42578125" style="6" customWidth="1"/>
    <col min="2564" max="2564" width="24.5703125" style="6" customWidth="1"/>
    <col min="2565" max="2565" width="35.28515625" style="6" customWidth="1"/>
    <col min="2566" max="2812" width="9.140625" style="6"/>
    <col min="2813" max="2813" width="9.28515625" style="6" customWidth="1"/>
    <col min="2814" max="2814" width="42.28515625" style="6" customWidth="1"/>
    <col min="2815" max="2815" width="32.5703125" style="6" customWidth="1"/>
    <col min="2816" max="2816" width="13.42578125" style="6" customWidth="1"/>
    <col min="2817" max="2817" width="14.85546875" style="6" customWidth="1"/>
    <col min="2818" max="2818" width="26.85546875" style="6" customWidth="1"/>
    <col min="2819" max="2819" width="32.42578125" style="6" customWidth="1"/>
    <col min="2820" max="2820" width="24.5703125" style="6" customWidth="1"/>
    <col min="2821" max="2821" width="35.28515625" style="6" customWidth="1"/>
    <col min="2822" max="3068" width="9.140625" style="6"/>
    <col min="3069" max="3069" width="9.28515625" style="6" customWidth="1"/>
    <col min="3070" max="3070" width="42.28515625" style="6" customWidth="1"/>
    <col min="3071" max="3071" width="32.5703125" style="6" customWidth="1"/>
    <col min="3072" max="3072" width="13.42578125" style="6" customWidth="1"/>
    <col min="3073" max="3073" width="14.85546875" style="6" customWidth="1"/>
    <col min="3074" max="3074" width="26.85546875" style="6" customWidth="1"/>
    <col min="3075" max="3075" width="32.42578125" style="6" customWidth="1"/>
    <col min="3076" max="3076" width="24.5703125" style="6" customWidth="1"/>
    <col min="3077" max="3077" width="35.28515625" style="6" customWidth="1"/>
    <col min="3078" max="3324" width="9.140625" style="6"/>
    <col min="3325" max="3325" width="9.28515625" style="6" customWidth="1"/>
    <col min="3326" max="3326" width="42.28515625" style="6" customWidth="1"/>
    <col min="3327" max="3327" width="32.5703125" style="6" customWidth="1"/>
    <col min="3328" max="3328" width="13.42578125" style="6" customWidth="1"/>
    <col min="3329" max="3329" width="14.85546875" style="6" customWidth="1"/>
    <col min="3330" max="3330" width="26.85546875" style="6" customWidth="1"/>
    <col min="3331" max="3331" width="32.42578125" style="6" customWidth="1"/>
    <col min="3332" max="3332" width="24.5703125" style="6" customWidth="1"/>
    <col min="3333" max="3333" width="35.28515625" style="6" customWidth="1"/>
    <col min="3334" max="3580" width="9.140625" style="6"/>
    <col min="3581" max="3581" width="9.28515625" style="6" customWidth="1"/>
    <col min="3582" max="3582" width="42.28515625" style="6" customWidth="1"/>
    <col min="3583" max="3583" width="32.5703125" style="6" customWidth="1"/>
    <col min="3584" max="3584" width="13.42578125" style="6" customWidth="1"/>
    <col min="3585" max="3585" width="14.85546875" style="6" customWidth="1"/>
    <col min="3586" max="3586" width="26.85546875" style="6" customWidth="1"/>
    <col min="3587" max="3587" width="32.42578125" style="6" customWidth="1"/>
    <col min="3588" max="3588" width="24.5703125" style="6" customWidth="1"/>
    <col min="3589" max="3589" width="35.28515625" style="6" customWidth="1"/>
    <col min="3590" max="3836" width="9.140625" style="6"/>
    <col min="3837" max="3837" width="9.28515625" style="6" customWidth="1"/>
    <col min="3838" max="3838" width="42.28515625" style="6" customWidth="1"/>
    <col min="3839" max="3839" width="32.5703125" style="6" customWidth="1"/>
    <col min="3840" max="3840" width="13.42578125" style="6" customWidth="1"/>
    <col min="3841" max="3841" width="14.85546875" style="6" customWidth="1"/>
    <col min="3842" max="3842" width="26.85546875" style="6" customWidth="1"/>
    <col min="3843" max="3843" width="32.42578125" style="6" customWidth="1"/>
    <col min="3844" max="3844" width="24.5703125" style="6" customWidth="1"/>
    <col min="3845" max="3845" width="35.28515625" style="6" customWidth="1"/>
    <col min="3846" max="4092" width="9.140625" style="6"/>
    <col min="4093" max="4093" width="9.28515625" style="6" customWidth="1"/>
    <col min="4094" max="4094" width="42.28515625" style="6" customWidth="1"/>
    <col min="4095" max="4095" width="32.5703125" style="6" customWidth="1"/>
    <col min="4096" max="4096" width="13.42578125" style="6" customWidth="1"/>
    <col min="4097" max="4097" width="14.85546875" style="6" customWidth="1"/>
    <col min="4098" max="4098" width="26.85546875" style="6" customWidth="1"/>
    <col min="4099" max="4099" width="32.42578125" style="6" customWidth="1"/>
    <col min="4100" max="4100" width="24.5703125" style="6" customWidth="1"/>
    <col min="4101" max="4101" width="35.28515625" style="6" customWidth="1"/>
    <col min="4102" max="4348" width="9.140625" style="6"/>
    <col min="4349" max="4349" width="9.28515625" style="6" customWidth="1"/>
    <col min="4350" max="4350" width="42.28515625" style="6" customWidth="1"/>
    <col min="4351" max="4351" width="32.5703125" style="6" customWidth="1"/>
    <col min="4352" max="4352" width="13.42578125" style="6" customWidth="1"/>
    <col min="4353" max="4353" width="14.85546875" style="6" customWidth="1"/>
    <col min="4354" max="4354" width="26.85546875" style="6" customWidth="1"/>
    <col min="4355" max="4355" width="32.42578125" style="6" customWidth="1"/>
    <col min="4356" max="4356" width="24.5703125" style="6" customWidth="1"/>
    <col min="4357" max="4357" width="35.28515625" style="6" customWidth="1"/>
    <col min="4358" max="4604" width="9.140625" style="6"/>
    <col min="4605" max="4605" width="9.28515625" style="6" customWidth="1"/>
    <col min="4606" max="4606" width="42.28515625" style="6" customWidth="1"/>
    <col min="4607" max="4607" width="32.5703125" style="6" customWidth="1"/>
    <col min="4608" max="4608" width="13.42578125" style="6" customWidth="1"/>
    <col min="4609" max="4609" width="14.85546875" style="6" customWidth="1"/>
    <col min="4610" max="4610" width="26.85546875" style="6" customWidth="1"/>
    <col min="4611" max="4611" width="32.42578125" style="6" customWidth="1"/>
    <col min="4612" max="4612" width="24.5703125" style="6" customWidth="1"/>
    <col min="4613" max="4613" width="35.28515625" style="6" customWidth="1"/>
    <col min="4614" max="4860" width="9.140625" style="6"/>
    <col min="4861" max="4861" width="9.28515625" style="6" customWidth="1"/>
    <col min="4862" max="4862" width="42.28515625" style="6" customWidth="1"/>
    <col min="4863" max="4863" width="32.5703125" style="6" customWidth="1"/>
    <col min="4864" max="4864" width="13.42578125" style="6" customWidth="1"/>
    <col min="4865" max="4865" width="14.85546875" style="6" customWidth="1"/>
    <col min="4866" max="4866" width="26.85546875" style="6" customWidth="1"/>
    <col min="4867" max="4867" width="32.42578125" style="6" customWidth="1"/>
    <col min="4868" max="4868" width="24.5703125" style="6" customWidth="1"/>
    <col min="4869" max="4869" width="35.28515625" style="6" customWidth="1"/>
    <col min="4870" max="5116" width="9.140625" style="6"/>
    <col min="5117" max="5117" width="9.28515625" style="6" customWidth="1"/>
    <col min="5118" max="5118" width="42.28515625" style="6" customWidth="1"/>
    <col min="5119" max="5119" width="32.5703125" style="6" customWidth="1"/>
    <col min="5120" max="5120" width="13.42578125" style="6" customWidth="1"/>
    <col min="5121" max="5121" width="14.85546875" style="6" customWidth="1"/>
    <col min="5122" max="5122" width="26.85546875" style="6" customWidth="1"/>
    <col min="5123" max="5123" width="32.42578125" style="6" customWidth="1"/>
    <col min="5124" max="5124" width="24.5703125" style="6" customWidth="1"/>
    <col min="5125" max="5125" width="35.28515625" style="6" customWidth="1"/>
    <col min="5126" max="5372" width="9.140625" style="6"/>
    <col min="5373" max="5373" width="9.28515625" style="6" customWidth="1"/>
    <col min="5374" max="5374" width="42.28515625" style="6" customWidth="1"/>
    <col min="5375" max="5375" width="32.5703125" style="6" customWidth="1"/>
    <col min="5376" max="5376" width="13.42578125" style="6" customWidth="1"/>
    <col min="5377" max="5377" width="14.85546875" style="6" customWidth="1"/>
    <col min="5378" max="5378" width="26.85546875" style="6" customWidth="1"/>
    <col min="5379" max="5379" width="32.42578125" style="6" customWidth="1"/>
    <col min="5380" max="5380" width="24.5703125" style="6" customWidth="1"/>
    <col min="5381" max="5381" width="35.28515625" style="6" customWidth="1"/>
    <col min="5382" max="5628" width="9.140625" style="6"/>
    <col min="5629" max="5629" width="9.28515625" style="6" customWidth="1"/>
    <col min="5630" max="5630" width="42.28515625" style="6" customWidth="1"/>
    <col min="5631" max="5631" width="32.5703125" style="6" customWidth="1"/>
    <col min="5632" max="5632" width="13.42578125" style="6" customWidth="1"/>
    <col min="5633" max="5633" width="14.85546875" style="6" customWidth="1"/>
    <col min="5634" max="5634" width="26.85546875" style="6" customWidth="1"/>
    <col min="5635" max="5635" width="32.42578125" style="6" customWidth="1"/>
    <col min="5636" max="5636" width="24.5703125" style="6" customWidth="1"/>
    <col min="5637" max="5637" width="35.28515625" style="6" customWidth="1"/>
    <col min="5638" max="5884" width="9.140625" style="6"/>
    <col min="5885" max="5885" width="9.28515625" style="6" customWidth="1"/>
    <col min="5886" max="5886" width="42.28515625" style="6" customWidth="1"/>
    <col min="5887" max="5887" width="32.5703125" style="6" customWidth="1"/>
    <col min="5888" max="5888" width="13.42578125" style="6" customWidth="1"/>
    <col min="5889" max="5889" width="14.85546875" style="6" customWidth="1"/>
    <col min="5890" max="5890" width="26.85546875" style="6" customWidth="1"/>
    <col min="5891" max="5891" width="32.42578125" style="6" customWidth="1"/>
    <col min="5892" max="5892" width="24.5703125" style="6" customWidth="1"/>
    <col min="5893" max="5893" width="35.28515625" style="6" customWidth="1"/>
    <col min="5894" max="6140" width="9.140625" style="6"/>
    <col min="6141" max="6141" width="9.28515625" style="6" customWidth="1"/>
    <col min="6142" max="6142" width="42.28515625" style="6" customWidth="1"/>
    <col min="6143" max="6143" width="32.5703125" style="6" customWidth="1"/>
    <col min="6144" max="6144" width="13.42578125" style="6" customWidth="1"/>
    <col min="6145" max="6145" width="14.85546875" style="6" customWidth="1"/>
    <col min="6146" max="6146" width="26.85546875" style="6" customWidth="1"/>
    <col min="6147" max="6147" width="32.42578125" style="6" customWidth="1"/>
    <col min="6148" max="6148" width="24.5703125" style="6" customWidth="1"/>
    <col min="6149" max="6149" width="35.28515625" style="6" customWidth="1"/>
    <col min="6150" max="6396" width="9.140625" style="6"/>
    <col min="6397" max="6397" width="9.28515625" style="6" customWidth="1"/>
    <col min="6398" max="6398" width="42.28515625" style="6" customWidth="1"/>
    <col min="6399" max="6399" width="32.5703125" style="6" customWidth="1"/>
    <col min="6400" max="6400" width="13.42578125" style="6" customWidth="1"/>
    <col min="6401" max="6401" width="14.85546875" style="6" customWidth="1"/>
    <col min="6402" max="6402" width="26.85546875" style="6" customWidth="1"/>
    <col min="6403" max="6403" width="32.42578125" style="6" customWidth="1"/>
    <col min="6404" max="6404" width="24.5703125" style="6" customWidth="1"/>
    <col min="6405" max="6405" width="35.28515625" style="6" customWidth="1"/>
    <col min="6406" max="6652" width="9.140625" style="6"/>
    <col min="6653" max="6653" width="9.28515625" style="6" customWidth="1"/>
    <col min="6654" max="6654" width="42.28515625" style="6" customWidth="1"/>
    <col min="6655" max="6655" width="32.5703125" style="6" customWidth="1"/>
    <col min="6656" max="6656" width="13.42578125" style="6" customWidth="1"/>
    <col min="6657" max="6657" width="14.85546875" style="6" customWidth="1"/>
    <col min="6658" max="6658" width="26.85546875" style="6" customWidth="1"/>
    <col min="6659" max="6659" width="32.42578125" style="6" customWidth="1"/>
    <col min="6660" max="6660" width="24.5703125" style="6" customWidth="1"/>
    <col min="6661" max="6661" width="35.28515625" style="6" customWidth="1"/>
    <col min="6662" max="6908" width="9.140625" style="6"/>
    <col min="6909" max="6909" width="9.28515625" style="6" customWidth="1"/>
    <col min="6910" max="6910" width="42.28515625" style="6" customWidth="1"/>
    <col min="6911" max="6911" width="32.5703125" style="6" customWidth="1"/>
    <col min="6912" max="6912" width="13.42578125" style="6" customWidth="1"/>
    <col min="6913" max="6913" width="14.85546875" style="6" customWidth="1"/>
    <col min="6914" max="6914" width="26.85546875" style="6" customWidth="1"/>
    <col min="6915" max="6915" width="32.42578125" style="6" customWidth="1"/>
    <col min="6916" max="6916" width="24.5703125" style="6" customWidth="1"/>
    <col min="6917" max="6917" width="35.28515625" style="6" customWidth="1"/>
    <col min="6918" max="7164" width="9.140625" style="6"/>
    <col min="7165" max="7165" width="9.28515625" style="6" customWidth="1"/>
    <col min="7166" max="7166" width="42.28515625" style="6" customWidth="1"/>
    <col min="7167" max="7167" width="32.5703125" style="6" customWidth="1"/>
    <col min="7168" max="7168" width="13.42578125" style="6" customWidth="1"/>
    <col min="7169" max="7169" width="14.85546875" style="6" customWidth="1"/>
    <col min="7170" max="7170" width="26.85546875" style="6" customWidth="1"/>
    <col min="7171" max="7171" width="32.42578125" style="6" customWidth="1"/>
    <col min="7172" max="7172" width="24.5703125" style="6" customWidth="1"/>
    <col min="7173" max="7173" width="35.28515625" style="6" customWidth="1"/>
    <col min="7174" max="7420" width="9.140625" style="6"/>
    <col min="7421" max="7421" width="9.28515625" style="6" customWidth="1"/>
    <col min="7422" max="7422" width="42.28515625" style="6" customWidth="1"/>
    <col min="7423" max="7423" width="32.5703125" style="6" customWidth="1"/>
    <col min="7424" max="7424" width="13.42578125" style="6" customWidth="1"/>
    <col min="7425" max="7425" width="14.85546875" style="6" customWidth="1"/>
    <col min="7426" max="7426" width="26.85546875" style="6" customWidth="1"/>
    <col min="7427" max="7427" width="32.42578125" style="6" customWidth="1"/>
    <col min="7428" max="7428" width="24.5703125" style="6" customWidth="1"/>
    <col min="7429" max="7429" width="35.28515625" style="6" customWidth="1"/>
    <col min="7430" max="7676" width="9.140625" style="6"/>
    <col min="7677" max="7677" width="9.28515625" style="6" customWidth="1"/>
    <col min="7678" max="7678" width="42.28515625" style="6" customWidth="1"/>
    <col min="7679" max="7679" width="32.5703125" style="6" customWidth="1"/>
    <col min="7680" max="7680" width="13.42578125" style="6" customWidth="1"/>
    <col min="7681" max="7681" width="14.85546875" style="6" customWidth="1"/>
    <col min="7682" max="7682" width="26.85546875" style="6" customWidth="1"/>
    <col min="7683" max="7683" width="32.42578125" style="6" customWidth="1"/>
    <col min="7684" max="7684" width="24.5703125" style="6" customWidth="1"/>
    <col min="7685" max="7685" width="35.28515625" style="6" customWidth="1"/>
    <col min="7686" max="7932" width="9.140625" style="6"/>
    <col min="7933" max="7933" width="9.28515625" style="6" customWidth="1"/>
    <col min="7934" max="7934" width="42.28515625" style="6" customWidth="1"/>
    <col min="7935" max="7935" width="32.5703125" style="6" customWidth="1"/>
    <col min="7936" max="7936" width="13.42578125" style="6" customWidth="1"/>
    <col min="7937" max="7937" width="14.85546875" style="6" customWidth="1"/>
    <col min="7938" max="7938" width="26.85546875" style="6" customWidth="1"/>
    <col min="7939" max="7939" width="32.42578125" style="6" customWidth="1"/>
    <col min="7940" max="7940" width="24.5703125" style="6" customWidth="1"/>
    <col min="7941" max="7941" width="35.28515625" style="6" customWidth="1"/>
    <col min="7942" max="8188" width="9.140625" style="6"/>
    <col min="8189" max="8189" width="9.28515625" style="6" customWidth="1"/>
    <col min="8190" max="8190" width="42.28515625" style="6" customWidth="1"/>
    <col min="8191" max="8191" width="32.5703125" style="6" customWidth="1"/>
    <col min="8192" max="8192" width="13.42578125" style="6" customWidth="1"/>
    <col min="8193" max="8193" width="14.85546875" style="6" customWidth="1"/>
    <col min="8194" max="8194" width="26.85546875" style="6" customWidth="1"/>
    <col min="8195" max="8195" width="32.42578125" style="6" customWidth="1"/>
    <col min="8196" max="8196" width="24.5703125" style="6" customWidth="1"/>
    <col min="8197" max="8197" width="35.28515625" style="6" customWidth="1"/>
    <col min="8198" max="8444" width="9.140625" style="6"/>
    <col min="8445" max="8445" width="9.28515625" style="6" customWidth="1"/>
    <col min="8446" max="8446" width="42.28515625" style="6" customWidth="1"/>
    <col min="8447" max="8447" width="32.5703125" style="6" customWidth="1"/>
    <col min="8448" max="8448" width="13.42578125" style="6" customWidth="1"/>
    <col min="8449" max="8449" width="14.85546875" style="6" customWidth="1"/>
    <col min="8450" max="8450" width="26.85546875" style="6" customWidth="1"/>
    <col min="8451" max="8451" width="32.42578125" style="6" customWidth="1"/>
    <col min="8452" max="8452" width="24.5703125" style="6" customWidth="1"/>
    <col min="8453" max="8453" width="35.28515625" style="6" customWidth="1"/>
    <col min="8454" max="8700" width="9.140625" style="6"/>
    <col min="8701" max="8701" width="9.28515625" style="6" customWidth="1"/>
    <col min="8702" max="8702" width="42.28515625" style="6" customWidth="1"/>
    <col min="8703" max="8703" width="32.5703125" style="6" customWidth="1"/>
    <col min="8704" max="8704" width="13.42578125" style="6" customWidth="1"/>
    <col min="8705" max="8705" width="14.85546875" style="6" customWidth="1"/>
    <col min="8706" max="8706" width="26.85546875" style="6" customWidth="1"/>
    <col min="8707" max="8707" width="32.42578125" style="6" customWidth="1"/>
    <col min="8708" max="8708" width="24.5703125" style="6" customWidth="1"/>
    <col min="8709" max="8709" width="35.28515625" style="6" customWidth="1"/>
    <col min="8710" max="8956" width="9.140625" style="6"/>
    <col min="8957" max="8957" width="9.28515625" style="6" customWidth="1"/>
    <col min="8958" max="8958" width="42.28515625" style="6" customWidth="1"/>
    <col min="8959" max="8959" width="32.5703125" style="6" customWidth="1"/>
    <col min="8960" max="8960" width="13.42578125" style="6" customWidth="1"/>
    <col min="8961" max="8961" width="14.85546875" style="6" customWidth="1"/>
    <col min="8962" max="8962" width="26.85546875" style="6" customWidth="1"/>
    <col min="8963" max="8963" width="32.42578125" style="6" customWidth="1"/>
    <col min="8964" max="8964" width="24.5703125" style="6" customWidth="1"/>
    <col min="8965" max="8965" width="35.28515625" style="6" customWidth="1"/>
    <col min="8966" max="9212" width="9.140625" style="6"/>
    <col min="9213" max="9213" width="9.28515625" style="6" customWidth="1"/>
    <col min="9214" max="9214" width="42.28515625" style="6" customWidth="1"/>
    <col min="9215" max="9215" width="32.5703125" style="6" customWidth="1"/>
    <col min="9216" max="9216" width="13.42578125" style="6" customWidth="1"/>
    <col min="9217" max="9217" width="14.85546875" style="6" customWidth="1"/>
    <col min="9218" max="9218" width="26.85546875" style="6" customWidth="1"/>
    <col min="9219" max="9219" width="32.42578125" style="6" customWidth="1"/>
    <col min="9220" max="9220" width="24.5703125" style="6" customWidth="1"/>
    <col min="9221" max="9221" width="35.28515625" style="6" customWidth="1"/>
    <col min="9222" max="9468" width="9.140625" style="6"/>
    <col min="9469" max="9469" width="9.28515625" style="6" customWidth="1"/>
    <col min="9470" max="9470" width="42.28515625" style="6" customWidth="1"/>
    <col min="9471" max="9471" width="32.5703125" style="6" customWidth="1"/>
    <col min="9472" max="9472" width="13.42578125" style="6" customWidth="1"/>
    <col min="9473" max="9473" width="14.85546875" style="6" customWidth="1"/>
    <col min="9474" max="9474" width="26.85546875" style="6" customWidth="1"/>
    <col min="9475" max="9475" width="32.42578125" style="6" customWidth="1"/>
    <col min="9476" max="9476" width="24.5703125" style="6" customWidth="1"/>
    <col min="9477" max="9477" width="35.28515625" style="6" customWidth="1"/>
    <col min="9478" max="9724" width="9.140625" style="6"/>
    <col min="9725" max="9725" width="9.28515625" style="6" customWidth="1"/>
    <col min="9726" max="9726" width="42.28515625" style="6" customWidth="1"/>
    <col min="9727" max="9727" width="32.5703125" style="6" customWidth="1"/>
    <col min="9728" max="9728" width="13.42578125" style="6" customWidth="1"/>
    <col min="9729" max="9729" width="14.85546875" style="6" customWidth="1"/>
    <col min="9730" max="9730" width="26.85546875" style="6" customWidth="1"/>
    <col min="9731" max="9731" width="32.42578125" style="6" customWidth="1"/>
    <col min="9732" max="9732" width="24.5703125" style="6" customWidth="1"/>
    <col min="9733" max="9733" width="35.28515625" style="6" customWidth="1"/>
    <col min="9734" max="9980" width="9.140625" style="6"/>
    <col min="9981" max="9981" width="9.28515625" style="6" customWidth="1"/>
    <col min="9982" max="9982" width="42.28515625" style="6" customWidth="1"/>
    <col min="9983" max="9983" width="32.5703125" style="6" customWidth="1"/>
    <col min="9984" max="9984" width="13.42578125" style="6" customWidth="1"/>
    <col min="9985" max="9985" width="14.85546875" style="6" customWidth="1"/>
    <col min="9986" max="9986" width="26.85546875" style="6" customWidth="1"/>
    <col min="9987" max="9987" width="32.42578125" style="6" customWidth="1"/>
    <col min="9988" max="9988" width="24.5703125" style="6" customWidth="1"/>
    <col min="9989" max="9989" width="35.28515625" style="6" customWidth="1"/>
    <col min="9990" max="10236" width="9.140625" style="6"/>
    <col min="10237" max="10237" width="9.28515625" style="6" customWidth="1"/>
    <col min="10238" max="10238" width="42.28515625" style="6" customWidth="1"/>
    <col min="10239" max="10239" width="32.5703125" style="6" customWidth="1"/>
    <col min="10240" max="10240" width="13.42578125" style="6" customWidth="1"/>
    <col min="10241" max="10241" width="14.85546875" style="6" customWidth="1"/>
    <col min="10242" max="10242" width="26.85546875" style="6" customWidth="1"/>
    <col min="10243" max="10243" width="32.42578125" style="6" customWidth="1"/>
    <col min="10244" max="10244" width="24.5703125" style="6" customWidth="1"/>
    <col min="10245" max="10245" width="35.28515625" style="6" customWidth="1"/>
    <col min="10246" max="10492" width="9.140625" style="6"/>
    <col min="10493" max="10493" width="9.28515625" style="6" customWidth="1"/>
    <col min="10494" max="10494" width="42.28515625" style="6" customWidth="1"/>
    <col min="10495" max="10495" width="32.5703125" style="6" customWidth="1"/>
    <col min="10496" max="10496" width="13.42578125" style="6" customWidth="1"/>
    <col min="10497" max="10497" width="14.85546875" style="6" customWidth="1"/>
    <col min="10498" max="10498" width="26.85546875" style="6" customWidth="1"/>
    <col min="10499" max="10499" width="32.42578125" style="6" customWidth="1"/>
    <col min="10500" max="10500" width="24.5703125" style="6" customWidth="1"/>
    <col min="10501" max="10501" width="35.28515625" style="6" customWidth="1"/>
    <col min="10502" max="10748" width="9.140625" style="6"/>
    <col min="10749" max="10749" width="9.28515625" style="6" customWidth="1"/>
    <col min="10750" max="10750" width="42.28515625" style="6" customWidth="1"/>
    <col min="10751" max="10751" width="32.5703125" style="6" customWidth="1"/>
    <col min="10752" max="10752" width="13.42578125" style="6" customWidth="1"/>
    <col min="10753" max="10753" width="14.85546875" style="6" customWidth="1"/>
    <col min="10754" max="10754" width="26.85546875" style="6" customWidth="1"/>
    <col min="10755" max="10755" width="32.42578125" style="6" customWidth="1"/>
    <col min="10756" max="10756" width="24.5703125" style="6" customWidth="1"/>
    <col min="10757" max="10757" width="35.28515625" style="6" customWidth="1"/>
    <col min="10758" max="11004" width="9.140625" style="6"/>
    <col min="11005" max="11005" width="9.28515625" style="6" customWidth="1"/>
    <col min="11006" max="11006" width="42.28515625" style="6" customWidth="1"/>
    <col min="11007" max="11007" width="32.5703125" style="6" customWidth="1"/>
    <col min="11008" max="11008" width="13.42578125" style="6" customWidth="1"/>
    <col min="11009" max="11009" width="14.85546875" style="6" customWidth="1"/>
    <col min="11010" max="11010" width="26.85546875" style="6" customWidth="1"/>
    <col min="11011" max="11011" width="32.42578125" style="6" customWidth="1"/>
    <col min="11012" max="11012" width="24.5703125" style="6" customWidth="1"/>
    <col min="11013" max="11013" width="35.28515625" style="6" customWidth="1"/>
    <col min="11014" max="11260" width="9.140625" style="6"/>
    <col min="11261" max="11261" width="9.28515625" style="6" customWidth="1"/>
    <col min="11262" max="11262" width="42.28515625" style="6" customWidth="1"/>
    <col min="11263" max="11263" width="32.5703125" style="6" customWidth="1"/>
    <col min="11264" max="11264" width="13.42578125" style="6" customWidth="1"/>
    <col min="11265" max="11265" width="14.85546875" style="6" customWidth="1"/>
    <col min="11266" max="11266" width="26.85546875" style="6" customWidth="1"/>
    <col min="11267" max="11267" width="32.42578125" style="6" customWidth="1"/>
    <col min="11268" max="11268" width="24.5703125" style="6" customWidth="1"/>
    <col min="11269" max="11269" width="35.28515625" style="6" customWidth="1"/>
    <col min="11270" max="11516" width="9.140625" style="6"/>
    <col min="11517" max="11517" width="9.28515625" style="6" customWidth="1"/>
    <col min="11518" max="11518" width="42.28515625" style="6" customWidth="1"/>
    <col min="11519" max="11519" width="32.5703125" style="6" customWidth="1"/>
    <col min="11520" max="11520" width="13.42578125" style="6" customWidth="1"/>
    <col min="11521" max="11521" width="14.85546875" style="6" customWidth="1"/>
    <col min="11522" max="11522" width="26.85546875" style="6" customWidth="1"/>
    <col min="11523" max="11523" width="32.42578125" style="6" customWidth="1"/>
    <col min="11524" max="11524" width="24.5703125" style="6" customWidth="1"/>
    <col min="11525" max="11525" width="35.28515625" style="6" customWidth="1"/>
    <col min="11526" max="11772" width="9.140625" style="6"/>
    <col min="11773" max="11773" width="9.28515625" style="6" customWidth="1"/>
    <col min="11774" max="11774" width="42.28515625" style="6" customWidth="1"/>
    <col min="11775" max="11775" width="32.5703125" style="6" customWidth="1"/>
    <col min="11776" max="11776" width="13.42578125" style="6" customWidth="1"/>
    <col min="11777" max="11777" width="14.85546875" style="6" customWidth="1"/>
    <col min="11778" max="11778" width="26.85546875" style="6" customWidth="1"/>
    <col min="11779" max="11779" width="32.42578125" style="6" customWidth="1"/>
    <col min="11780" max="11780" width="24.5703125" style="6" customWidth="1"/>
    <col min="11781" max="11781" width="35.28515625" style="6" customWidth="1"/>
    <col min="11782" max="12028" width="9.140625" style="6"/>
    <col min="12029" max="12029" width="9.28515625" style="6" customWidth="1"/>
    <col min="12030" max="12030" width="42.28515625" style="6" customWidth="1"/>
    <col min="12031" max="12031" width="32.5703125" style="6" customWidth="1"/>
    <col min="12032" max="12032" width="13.42578125" style="6" customWidth="1"/>
    <col min="12033" max="12033" width="14.85546875" style="6" customWidth="1"/>
    <col min="12034" max="12034" width="26.85546875" style="6" customWidth="1"/>
    <col min="12035" max="12035" width="32.42578125" style="6" customWidth="1"/>
    <col min="12036" max="12036" width="24.5703125" style="6" customWidth="1"/>
    <col min="12037" max="12037" width="35.28515625" style="6" customWidth="1"/>
    <col min="12038" max="12284" width="9.140625" style="6"/>
    <col min="12285" max="12285" width="9.28515625" style="6" customWidth="1"/>
    <col min="12286" max="12286" width="42.28515625" style="6" customWidth="1"/>
    <col min="12287" max="12287" width="32.5703125" style="6" customWidth="1"/>
    <col min="12288" max="12288" width="13.42578125" style="6" customWidth="1"/>
    <col min="12289" max="12289" width="14.85546875" style="6" customWidth="1"/>
    <col min="12290" max="12290" width="26.85546875" style="6" customWidth="1"/>
    <col min="12291" max="12291" width="32.42578125" style="6" customWidth="1"/>
    <col min="12292" max="12292" width="24.5703125" style="6" customWidth="1"/>
    <col min="12293" max="12293" width="35.28515625" style="6" customWidth="1"/>
    <col min="12294" max="12540" width="9.140625" style="6"/>
    <col min="12541" max="12541" width="9.28515625" style="6" customWidth="1"/>
    <col min="12542" max="12542" width="42.28515625" style="6" customWidth="1"/>
    <col min="12543" max="12543" width="32.5703125" style="6" customWidth="1"/>
    <col min="12544" max="12544" width="13.42578125" style="6" customWidth="1"/>
    <col min="12545" max="12545" width="14.85546875" style="6" customWidth="1"/>
    <col min="12546" max="12546" width="26.85546875" style="6" customWidth="1"/>
    <col min="12547" max="12547" width="32.42578125" style="6" customWidth="1"/>
    <col min="12548" max="12548" width="24.5703125" style="6" customWidth="1"/>
    <col min="12549" max="12549" width="35.28515625" style="6" customWidth="1"/>
    <col min="12550" max="12796" width="9.140625" style="6"/>
    <col min="12797" max="12797" width="9.28515625" style="6" customWidth="1"/>
    <col min="12798" max="12798" width="42.28515625" style="6" customWidth="1"/>
    <col min="12799" max="12799" width="32.5703125" style="6" customWidth="1"/>
    <col min="12800" max="12800" width="13.42578125" style="6" customWidth="1"/>
    <col min="12801" max="12801" width="14.85546875" style="6" customWidth="1"/>
    <col min="12802" max="12802" width="26.85546875" style="6" customWidth="1"/>
    <col min="12803" max="12803" width="32.42578125" style="6" customWidth="1"/>
    <col min="12804" max="12804" width="24.5703125" style="6" customWidth="1"/>
    <col min="12805" max="12805" width="35.28515625" style="6" customWidth="1"/>
    <col min="12806" max="13052" width="9.140625" style="6"/>
    <col min="13053" max="13053" width="9.28515625" style="6" customWidth="1"/>
    <col min="13054" max="13054" width="42.28515625" style="6" customWidth="1"/>
    <col min="13055" max="13055" width="32.5703125" style="6" customWidth="1"/>
    <col min="13056" max="13056" width="13.42578125" style="6" customWidth="1"/>
    <col min="13057" max="13057" width="14.85546875" style="6" customWidth="1"/>
    <col min="13058" max="13058" width="26.85546875" style="6" customWidth="1"/>
    <col min="13059" max="13059" width="32.42578125" style="6" customWidth="1"/>
    <col min="13060" max="13060" width="24.5703125" style="6" customWidth="1"/>
    <col min="13061" max="13061" width="35.28515625" style="6" customWidth="1"/>
    <col min="13062" max="13308" width="9.140625" style="6"/>
    <col min="13309" max="13309" width="9.28515625" style="6" customWidth="1"/>
    <col min="13310" max="13310" width="42.28515625" style="6" customWidth="1"/>
    <col min="13311" max="13311" width="32.5703125" style="6" customWidth="1"/>
    <col min="13312" max="13312" width="13.42578125" style="6" customWidth="1"/>
    <col min="13313" max="13313" width="14.85546875" style="6" customWidth="1"/>
    <col min="13314" max="13314" width="26.85546875" style="6" customWidth="1"/>
    <col min="13315" max="13315" width="32.42578125" style="6" customWidth="1"/>
    <col min="13316" max="13316" width="24.5703125" style="6" customWidth="1"/>
    <col min="13317" max="13317" width="35.28515625" style="6" customWidth="1"/>
    <col min="13318" max="13564" width="9.140625" style="6"/>
    <col min="13565" max="13565" width="9.28515625" style="6" customWidth="1"/>
    <col min="13566" max="13566" width="42.28515625" style="6" customWidth="1"/>
    <col min="13567" max="13567" width="32.5703125" style="6" customWidth="1"/>
    <col min="13568" max="13568" width="13.42578125" style="6" customWidth="1"/>
    <col min="13569" max="13569" width="14.85546875" style="6" customWidth="1"/>
    <col min="13570" max="13570" width="26.85546875" style="6" customWidth="1"/>
    <col min="13571" max="13571" width="32.42578125" style="6" customWidth="1"/>
    <col min="13572" max="13572" width="24.5703125" style="6" customWidth="1"/>
    <col min="13573" max="13573" width="35.28515625" style="6" customWidth="1"/>
    <col min="13574" max="13820" width="9.140625" style="6"/>
    <col min="13821" max="13821" width="9.28515625" style="6" customWidth="1"/>
    <col min="13822" max="13822" width="42.28515625" style="6" customWidth="1"/>
    <col min="13823" max="13823" width="32.5703125" style="6" customWidth="1"/>
    <col min="13824" max="13824" width="13.42578125" style="6" customWidth="1"/>
    <col min="13825" max="13825" width="14.85546875" style="6" customWidth="1"/>
    <col min="13826" max="13826" width="26.85546875" style="6" customWidth="1"/>
    <col min="13827" max="13827" width="32.42578125" style="6" customWidth="1"/>
    <col min="13828" max="13828" width="24.5703125" style="6" customWidth="1"/>
    <col min="13829" max="13829" width="35.28515625" style="6" customWidth="1"/>
    <col min="13830" max="14076" width="9.140625" style="6"/>
    <col min="14077" max="14077" width="9.28515625" style="6" customWidth="1"/>
    <col min="14078" max="14078" width="42.28515625" style="6" customWidth="1"/>
    <col min="14079" max="14079" width="32.5703125" style="6" customWidth="1"/>
    <col min="14080" max="14080" width="13.42578125" style="6" customWidth="1"/>
    <col min="14081" max="14081" width="14.85546875" style="6" customWidth="1"/>
    <col min="14082" max="14082" width="26.85546875" style="6" customWidth="1"/>
    <col min="14083" max="14083" width="32.42578125" style="6" customWidth="1"/>
    <col min="14084" max="14084" width="24.5703125" style="6" customWidth="1"/>
    <col min="14085" max="14085" width="35.28515625" style="6" customWidth="1"/>
    <col min="14086" max="14332" width="9.140625" style="6"/>
    <col min="14333" max="14333" width="9.28515625" style="6" customWidth="1"/>
    <col min="14334" max="14334" width="42.28515625" style="6" customWidth="1"/>
    <col min="14335" max="14335" width="32.5703125" style="6" customWidth="1"/>
    <col min="14336" max="14336" width="13.42578125" style="6" customWidth="1"/>
    <col min="14337" max="14337" width="14.85546875" style="6" customWidth="1"/>
    <col min="14338" max="14338" width="26.85546875" style="6" customWidth="1"/>
    <col min="14339" max="14339" width="32.42578125" style="6" customWidth="1"/>
    <col min="14340" max="14340" width="24.5703125" style="6" customWidth="1"/>
    <col min="14341" max="14341" width="35.28515625" style="6" customWidth="1"/>
    <col min="14342" max="14588" width="9.140625" style="6"/>
    <col min="14589" max="14589" width="9.28515625" style="6" customWidth="1"/>
    <col min="14590" max="14590" width="42.28515625" style="6" customWidth="1"/>
    <col min="14591" max="14591" width="32.5703125" style="6" customWidth="1"/>
    <col min="14592" max="14592" width="13.42578125" style="6" customWidth="1"/>
    <col min="14593" max="14593" width="14.85546875" style="6" customWidth="1"/>
    <col min="14594" max="14594" width="26.85546875" style="6" customWidth="1"/>
    <col min="14595" max="14595" width="32.42578125" style="6" customWidth="1"/>
    <col min="14596" max="14596" width="24.5703125" style="6" customWidth="1"/>
    <col min="14597" max="14597" width="35.28515625" style="6" customWidth="1"/>
    <col min="14598" max="14844" width="9.140625" style="6"/>
    <col min="14845" max="14845" width="9.28515625" style="6" customWidth="1"/>
    <col min="14846" max="14846" width="42.28515625" style="6" customWidth="1"/>
    <col min="14847" max="14847" width="32.5703125" style="6" customWidth="1"/>
    <col min="14848" max="14848" width="13.42578125" style="6" customWidth="1"/>
    <col min="14849" max="14849" width="14.85546875" style="6" customWidth="1"/>
    <col min="14850" max="14850" width="26.85546875" style="6" customWidth="1"/>
    <col min="14851" max="14851" width="32.42578125" style="6" customWidth="1"/>
    <col min="14852" max="14852" width="24.5703125" style="6" customWidth="1"/>
    <col min="14853" max="14853" width="35.28515625" style="6" customWidth="1"/>
    <col min="14854" max="15100" width="9.140625" style="6"/>
    <col min="15101" max="15101" width="9.28515625" style="6" customWidth="1"/>
    <col min="15102" max="15102" width="42.28515625" style="6" customWidth="1"/>
    <col min="15103" max="15103" width="32.5703125" style="6" customWidth="1"/>
    <col min="15104" max="15104" width="13.42578125" style="6" customWidth="1"/>
    <col min="15105" max="15105" width="14.85546875" style="6" customWidth="1"/>
    <col min="15106" max="15106" width="26.85546875" style="6" customWidth="1"/>
    <col min="15107" max="15107" width="32.42578125" style="6" customWidth="1"/>
    <col min="15108" max="15108" width="24.5703125" style="6" customWidth="1"/>
    <col min="15109" max="15109" width="35.28515625" style="6" customWidth="1"/>
    <col min="15110" max="15356" width="9.140625" style="6"/>
    <col min="15357" max="15357" width="9.28515625" style="6" customWidth="1"/>
    <col min="15358" max="15358" width="42.28515625" style="6" customWidth="1"/>
    <col min="15359" max="15359" width="32.5703125" style="6" customWidth="1"/>
    <col min="15360" max="15360" width="13.42578125" style="6" customWidth="1"/>
    <col min="15361" max="15361" width="14.85546875" style="6" customWidth="1"/>
    <col min="15362" max="15362" width="26.85546875" style="6" customWidth="1"/>
    <col min="15363" max="15363" width="32.42578125" style="6" customWidth="1"/>
    <col min="15364" max="15364" width="24.5703125" style="6" customWidth="1"/>
    <col min="15365" max="15365" width="35.28515625" style="6" customWidth="1"/>
    <col min="15366" max="15612" width="9.140625" style="6"/>
    <col min="15613" max="15613" width="9.28515625" style="6" customWidth="1"/>
    <col min="15614" max="15614" width="42.28515625" style="6" customWidth="1"/>
    <col min="15615" max="15615" width="32.5703125" style="6" customWidth="1"/>
    <col min="15616" max="15616" width="13.42578125" style="6" customWidth="1"/>
    <col min="15617" max="15617" width="14.85546875" style="6" customWidth="1"/>
    <col min="15618" max="15618" width="26.85546875" style="6" customWidth="1"/>
    <col min="15619" max="15619" width="32.42578125" style="6" customWidth="1"/>
    <col min="15620" max="15620" width="24.5703125" style="6" customWidth="1"/>
    <col min="15621" max="15621" width="35.28515625" style="6" customWidth="1"/>
    <col min="15622" max="15868" width="9.140625" style="6"/>
    <col min="15869" max="15869" width="9.28515625" style="6" customWidth="1"/>
    <col min="15870" max="15870" width="42.28515625" style="6" customWidth="1"/>
    <col min="15871" max="15871" width="32.5703125" style="6" customWidth="1"/>
    <col min="15872" max="15872" width="13.42578125" style="6" customWidth="1"/>
    <col min="15873" max="15873" width="14.85546875" style="6" customWidth="1"/>
    <col min="15874" max="15874" width="26.85546875" style="6" customWidth="1"/>
    <col min="15875" max="15875" width="32.42578125" style="6" customWidth="1"/>
    <col min="15876" max="15876" width="24.5703125" style="6" customWidth="1"/>
    <col min="15877" max="15877" width="35.28515625" style="6" customWidth="1"/>
    <col min="15878" max="16124" width="9.140625" style="6"/>
    <col min="16125" max="16125" width="9.28515625" style="6" customWidth="1"/>
    <col min="16126" max="16126" width="42.28515625" style="6" customWidth="1"/>
    <col min="16127" max="16127" width="32.5703125" style="6" customWidth="1"/>
    <col min="16128" max="16128" width="13.42578125" style="6" customWidth="1"/>
    <col min="16129" max="16129" width="14.85546875" style="6" customWidth="1"/>
    <col min="16130" max="16130" width="26.85546875" style="6" customWidth="1"/>
    <col min="16131" max="16131" width="32.42578125" style="6" customWidth="1"/>
    <col min="16132" max="16132" width="24.5703125" style="6" customWidth="1"/>
    <col min="16133" max="16133" width="35.28515625" style="6" customWidth="1"/>
    <col min="16134" max="16384" width="9.140625" style="6"/>
  </cols>
  <sheetData>
    <row r="1" spans="1:16" s="2" customFormat="1" ht="23.1" customHeight="1" x14ac:dyDescent="0.25">
      <c r="A1" s="78"/>
      <c r="B1" s="79"/>
      <c r="C1" s="84" t="s">
        <v>6</v>
      </c>
      <c r="D1" s="84"/>
      <c r="E1" s="84"/>
      <c r="F1" s="84"/>
      <c r="G1" s="84"/>
      <c r="H1" s="84"/>
      <c r="I1" s="84"/>
      <c r="J1" s="1" t="s">
        <v>106</v>
      </c>
    </row>
    <row r="2" spans="1:16" s="2" customFormat="1" ht="23.1" customHeight="1" x14ac:dyDescent="0.25">
      <c r="A2" s="80"/>
      <c r="B2" s="81"/>
      <c r="C2" s="85"/>
      <c r="D2" s="85"/>
      <c r="E2" s="85"/>
      <c r="F2" s="85"/>
      <c r="G2" s="85"/>
      <c r="H2" s="85"/>
      <c r="I2" s="85"/>
      <c r="J2" s="3" t="s">
        <v>104</v>
      </c>
    </row>
    <row r="3" spans="1:16" s="2" customFormat="1" ht="23.1" customHeight="1" x14ac:dyDescent="0.25">
      <c r="A3" s="80"/>
      <c r="B3" s="81"/>
      <c r="C3" s="46" t="s">
        <v>81</v>
      </c>
      <c r="D3" s="47"/>
      <c r="E3" s="47"/>
      <c r="F3" s="47"/>
      <c r="G3" s="47"/>
      <c r="H3" s="47"/>
      <c r="I3" s="48"/>
      <c r="J3" s="3" t="s">
        <v>105</v>
      </c>
    </row>
    <row r="4" spans="1:16" s="2" customFormat="1" ht="23.1" customHeight="1" thickBot="1" x14ac:dyDescent="0.3">
      <c r="A4" s="82"/>
      <c r="B4" s="83"/>
      <c r="C4" s="49"/>
      <c r="D4" s="50"/>
      <c r="E4" s="50"/>
      <c r="F4" s="50"/>
      <c r="G4" s="50"/>
      <c r="H4" s="50"/>
      <c r="I4" s="51"/>
      <c r="J4" s="24" t="s">
        <v>103</v>
      </c>
    </row>
    <row r="5" spans="1:16" s="2" customFormat="1" ht="19.5" customHeight="1" thickBot="1" x14ac:dyDescent="0.3">
      <c r="A5" s="86"/>
      <c r="B5" s="87"/>
      <c r="C5" s="87"/>
      <c r="D5" s="87"/>
      <c r="E5" s="87"/>
      <c r="F5" s="87"/>
      <c r="G5" s="87"/>
      <c r="H5" s="87"/>
      <c r="I5" s="87"/>
      <c r="J5" s="88"/>
    </row>
    <row r="6" spans="1:16" s="2" customFormat="1" ht="35.25" customHeight="1" x14ac:dyDescent="0.25">
      <c r="A6" s="20" t="s">
        <v>7</v>
      </c>
      <c r="B6" s="21" t="s">
        <v>0</v>
      </c>
      <c r="C6" s="21" t="s">
        <v>8</v>
      </c>
      <c r="D6" s="21" t="s">
        <v>9</v>
      </c>
      <c r="E6" s="21" t="s">
        <v>10</v>
      </c>
      <c r="F6" s="21" t="s">
        <v>4</v>
      </c>
      <c r="G6" s="22" t="s">
        <v>102</v>
      </c>
      <c r="H6" s="22" t="s">
        <v>97</v>
      </c>
      <c r="I6" s="21" t="s">
        <v>112</v>
      </c>
      <c r="J6" s="23" t="s">
        <v>11</v>
      </c>
    </row>
    <row r="7" spans="1:16" s="4" customFormat="1" ht="51" customHeight="1" x14ac:dyDescent="0.25">
      <c r="A7" s="35">
        <v>1</v>
      </c>
      <c r="B7" s="42" t="s">
        <v>22</v>
      </c>
      <c r="C7" s="36" t="s">
        <v>72</v>
      </c>
      <c r="D7" s="37">
        <v>45943</v>
      </c>
      <c r="E7" s="36" t="s">
        <v>20</v>
      </c>
      <c r="F7" s="36" t="s">
        <v>26</v>
      </c>
      <c r="G7" s="36" t="s">
        <v>41</v>
      </c>
      <c r="H7" s="36" t="s">
        <v>48</v>
      </c>
      <c r="I7" s="36" t="s">
        <v>12</v>
      </c>
      <c r="J7" s="38" t="s">
        <v>114</v>
      </c>
      <c r="K7" s="4">
        <v>15</v>
      </c>
    </row>
    <row r="8" spans="1:16" s="4" customFormat="1" ht="51" customHeight="1" x14ac:dyDescent="0.25">
      <c r="A8" s="35">
        <v>2</v>
      </c>
      <c r="B8" s="42" t="s">
        <v>22</v>
      </c>
      <c r="C8" s="36" t="s">
        <v>71</v>
      </c>
      <c r="D8" s="37">
        <v>45943</v>
      </c>
      <c r="E8" s="36" t="s">
        <v>20</v>
      </c>
      <c r="F8" s="36" t="s">
        <v>27</v>
      </c>
      <c r="G8" s="36" t="s">
        <v>89</v>
      </c>
      <c r="H8" s="36" t="s">
        <v>29</v>
      </c>
      <c r="I8" s="36" t="s">
        <v>12</v>
      </c>
      <c r="J8" s="38" t="s">
        <v>114</v>
      </c>
      <c r="K8" s="4">
        <v>25</v>
      </c>
      <c r="L8" s="45" t="s">
        <v>77</v>
      </c>
      <c r="M8" s="45"/>
      <c r="N8" s="45"/>
    </row>
    <row r="9" spans="1:16" s="4" customFormat="1" ht="51" customHeight="1" thickBot="1" x14ac:dyDescent="0.3">
      <c r="A9" s="35">
        <v>3</v>
      </c>
      <c r="B9" s="42" t="s">
        <v>22</v>
      </c>
      <c r="C9" s="36" t="s">
        <v>70</v>
      </c>
      <c r="D9" s="37">
        <v>45943</v>
      </c>
      <c r="E9" s="36" t="s">
        <v>20</v>
      </c>
      <c r="F9" s="36" t="s">
        <v>28</v>
      </c>
      <c r="G9" s="36" t="s">
        <v>82</v>
      </c>
      <c r="H9" s="36" t="s">
        <v>89</v>
      </c>
      <c r="I9" s="36" t="s">
        <v>12</v>
      </c>
      <c r="J9" s="38" t="s">
        <v>114</v>
      </c>
      <c r="K9" s="4">
        <v>17</v>
      </c>
      <c r="L9" s="12" t="s">
        <v>78</v>
      </c>
      <c r="M9" s="13" t="s">
        <v>79</v>
      </c>
      <c r="N9" s="13" t="s">
        <v>5</v>
      </c>
      <c r="O9" s="4" t="s">
        <v>102</v>
      </c>
    </row>
    <row r="10" spans="1:16" s="4" customFormat="1" ht="51" customHeight="1" thickBot="1" x14ac:dyDescent="0.3">
      <c r="A10" s="35">
        <v>4</v>
      </c>
      <c r="B10" s="42" t="s">
        <v>22</v>
      </c>
      <c r="C10" s="36" t="s">
        <v>69</v>
      </c>
      <c r="D10" s="37">
        <v>45943</v>
      </c>
      <c r="E10" s="36" t="s">
        <v>20</v>
      </c>
      <c r="F10" s="36" t="s">
        <v>29</v>
      </c>
      <c r="G10" s="36" t="s">
        <v>35</v>
      </c>
      <c r="H10" s="36" t="s">
        <v>90</v>
      </c>
      <c r="I10" s="36" t="s">
        <v>12</v>
      </c>
      <c r="J10" s="38" t="s">
        <v>114</v>
      </c>
      <c r="K10" s="4">
        <v>17</v>
      </c>
      <c r="L10" s="12">
        <v>1</v>
      </c>
      <c r="M10" s="16" t="s">
        <v>48</v>
      </c>
      <c r="N10" s="14">
        <f t="shared" ref="N10:N37" si="0" xml:space="preserve"> COUNTIF($G$7:$G$33,M10)</f>
        <v>0</v>
      </c>
      <c r="O10" s="14">
        <f xml:space="preserve"> COUNTIF($H$7:$H$33,M10)</f>
        <v>3</v>
      </c>
      <c r="P10" s="4">
        <f>O10+N10</f>
        <v>3</v>
      </c>
    </row>
    <row r="11" spans="1:16" s="4" customFormat="1" ht="51" customHeight="1" x14ac:dyDescent="0.25">
      <c r="A11" s="35">
        <v>5</v>
      </c>
      <c r="B11" s="42" t="s">
        <v>22</v>
      </c>
      <c r="C11" s="36" t="s">
        <v>68</v>
      </c>
      <c r="D11" s="37">
        <v>45943</v>
      </c>
      <c r="E11" s="36" t="s">
        <v>20</v>
      </c>
      <c r="F11" s="36" t="s">
        <v>30</v>
      </c>
      <c r="G11" s="36" t="s">
        <v>80</v>
      </c>
      <c r="H11" s="36" t="s">
        <v>87</v>
      </c>
      <c r="I11" s="36" t="s">
        <v>12</v>
      </c>
      <c r="J11" s="38" t="s">
        <v>114</v>
      </c>
      <c r="K11" s="4">
        <v>16</v>
      </c>
      <c r="L11" s="17">
        <v>2</v>
      </c>
      <c r="M11" s="15" t="s">
        <v>93</v>
      </c>
      <c r="N11" s="14">
        <f t="shared" si="0"/>
        <v>0</v>
      </c>
      <c r="O11" s="14">
        <f t="shared" ref="O11:O34" si="1" xml:space="preserve"> COUNTIF($H$7:$H$33,M11)</f>
        <v>0</v>
      </c>
      <c r="P11" s="4">
        <f t="shared" ref="P11:P37" si="2">O11+N11</f>
        <v>0</v>
      </c>
    </row>
    <row r="12" spans="1:16" s="4" customFormat="1" ht="51" customHeight="1" thickBot="1" x14ac:dyDescent="0.3">
      <c r="A12" s="35">
        <v>6</v>
      </c>
      <c r="B12" s="36" t="s">
        <v>23</v>
      </c>
      <c r="C12" s="36" t="s">
        <v>67</v>
      </c>
      <c r="D12" s="37">
        <v>45943</v>
      </c>
      <c r="E12" s="36" t="s">
        <v>20</v>
      </c>
      <c r="F12" s="36" t="s">
        <v>31</v>
      </c>
      <c r="G12" s="36" t="s">
        <v>83</v>
      </c>
      <c r="H12" s="36" t="s">
        <v>32</v>
      </c>
      <c r="I12" s="36" t="s">
        <v>12</v>
      </c>
      <c r="J12" s="43" t="s">
        <v>114</v>
      </c>
      <c r="K12" s="4">
        <v>15</v>
      </c>
      <c r="L12" s="12">
        <v>3</v>
      </c>
      <c r="M12" s="18" t="s">
        <v>84</v>
      </c>
      <c r="N12" s="14">
        <f t="shared" si="0"/>
        <v>2</v>
      </c>
      <c r="O12" s="14">
        <f t="shared" si="1"/>
        <v>1</v>
      </c>
      <c r="P12" s="4">
        <f t="shared" si="2"/>
        <v>3</v>
      </c>
    </row>
    <row r="13" spans="1:16" s="10" customFormat="1" ht="51" customHeight="1" thickBot="1" x14ac:dyDescent="0.3">
      <c r="A13" s="31">
        <v>7</v>
      </c>
      <c r="B13" s="32" t="s">
        <v>23</v>
      </c>
      <c r="C13" s="32" t="s">
        <v>66</v>
      </c>
      <c r="D13" s="33">
        <v>45944</v>
      </c>
      <c r="E13" s="32" t="s">
        <v>20</v>
      </c>
      <c r="F13" s="32" t="s">
        <v>85</v>
      </c>
      <c r="G13" s="32" t="s">
        <v>84</v>
      </c>
      <c r="H13" s="32" t="s">
        <v>94</v>
      </c>
      <c r="I13" s="32" t="s">
        <v>12</v>
      </c>
      <c r="J13" s="34" t="s">
        <v>114</v>
      </c>
      <c r="K13" s="10">
        <v>14</v>
      </c>
      <c r="L13" s="17">
        <v>4</v>
      </c>
      <c r="M13" s="18" t="s">
        <v>41</v>
      </c>
      <c r="N13" s="14">
        <f t="shared" si="0"/>
        <v>1</v>
      </c>
      <c r="O13" s="14">
        <f t="shared" si="1"/>
        <v>1</v>
      </c>
      <c r="P13" s="4">
        <f t="shared" si="2"/>
        <v>2</v>
      </c>
    </row>
    <row r="14" spans="1:16" s="10" customFormat="1" ht="51" customHeight="1" thickBot="1" x14ac:dyDescent="0.3">
      <c r="A14" s="31">
        <v>8</v>
      </c>
      <c r="B14" s="32" t="s">
        <v>23</v>
      </c>
      <c r="C14" s="32" t="s">
        <v>65</v>
      </c>
      <c r="D14" s="33">
        <v>45944</v>
      </c>
      <c r="E14" s="32" t="s">
        <v>20</v>
      </c>
      <c r="F14" s="32" t="s">
        <v>31</v>
      </c>
      <c r="G14" s="32" t="s">
        <v>47</v>
      </c>
      <c r="H14" s="32" t="s">
        <v>30</v>
      </c>
      <c r="I14" s="32" t="s">
        <v>12</v>
      </c>
      <c r="J14" s="34" t="s">
        <v>21</v>
      </c>
      <c r="L14" s="12">
        <v>5</v>
      </c>
      <c r="M14" s="18" t="s">
        <v>96</v>
      </c>
      <c r="N14" s="14">
        <f t="shared" si="0"/>
        <v>1</v>
      </c>
      <c r="O14" s="14">
        <f t="shared" si="1"/>
        <v>0</v>
      </c>
      <c r="P14" s="4">
        <f t="shared" si="2"/>
        <v>1</v>
      </c>
    </row>
    <row r="15" spans="1:16" s="4" customFormat="1" ht="51" customHeight="1" thickBot="1" x14ac:dyDescent="0.3">
      <c r="A15" s="31">
        <v>9</v>
      </c>
      <c r="B15" s="32" t="s">
        <v>23</v>
      </c>
      <c r="C15" s="32" t="s">
        <v>64</v>
      </c>
      <c r="D15" s="33">
        <v>45944</v>
      </c>
      <c r="E15" s="32" t="s">
        <v>20</v>
      </c>
      <c r="F15" s="32" t="s">
        <v>32</v>
      </c>
      <c r="G15" s="32" t="s">
        <v>85</v>
      </c>
      <c r="H15" s="32" t="s">
        <v>35</v>
      </c>
      <c r="I15" s="32" t="s">
        <v>12</v>
      </c>
      <c r="J15" s="34" t="s">
        <v>114</v>
      </c>
      <c r="K15" s="4">
        <v>14</v>
      </c>
      <c r="L15" s="17">
        <v>6</v>
      </c>
      <c r="M15" s="18" t="s">
        <v>39</v>
      </c>
      <c r="N15" s="14">
        <f t="shared" si="0"/>
        <v>1</v>
      </c>
      <c r="O15" s="14">
        <f t="shared" si="1"/>
        <v>0</v>
      </c>
      <c r="P15" s="4">
        <f t="shared" si="2"/>
        <v>1</v>
      </c>
    </row>
    <row r="16" spans="1:16" s="10" customFormat="1" ht="51" customHeight="1" thickBot="1" x14ac:dyDescent="0.3">
      <c r="A16" s="31">
        <v>10</v>
      </c>
      <c r="B16" s="32" t="s">
        <v>23</v>
      </c>
      <c r="C16" s="32" t="s">
        <v>63</v>
      </c>
      <c r="D16" s="33">
        <v>45944</v>
      </c>
      <c r="E16" s="32" t="s">
        <v>20</v>
      </c>
      <c r="F16" s="32" t="s">
        <v>33</v>
      </c>
      <c r="G16" s="32" t="s">
        <v>86</v>
      </c>
      <c r="H16" s="32" t="s">
        <v>47</v>
      </c>
      <c r="I16" s="32" t="s">
        <v>12</v>
      </c>
      <c r="J16" s="34" t="s">
        <v>114</v>
      </c>
      <c r="L16" s="28">
        <v>7</v>
      </c>
      <c r="M16" s="29" t="s">
        <v>98</v>
      </c>
      <c r="N16" s="30">
        <f t="shared" si="0"/>
        <v>0</v>
      </c>
      <c r="O16" s="14">
        <f t="shared" si="1"/>
        <v>0</v>
      </c>
      <c r="P16" s="4">
        <f t="shared" si="2"/>
        <v>0</v>
      </c>
    </row>
    <row r="17" spans="1:16" s="10" customFormat="1" ht="51" customHeight="1" thickBot="1" x14ac:dyDescent="0.3">
      <c r="A17" s="31">
        <v>11</v>
      </c>
      <c r="B17" s="32" t="s">
        <v>23</v>
      </c>
      <c r="C17" s="32" t="s">
        <v>62</v>
      </c>
      <c r="D17" s="33">
        <v>45944</v>
      </c>
      <c r="E17" s="32" t="s">
        <v>20</v>
      </c>
      <c r="F17" s="32" t="s">
        <v>34</v>
      </c>
      <c r="G17" s="32" t="s">
        <v>39</v>
      </c>
      <c r="H17" s="32" t="s">
        <v>41</v>
      </c>
      <c r="I17" s="32" t="s">
        <v>12</v>
      </c>
      <c r="J17" s="34" t="s">
        <v>114</v>
      </c>
      <c r="K17" s="10">
        <v>15</v>
      </c>
      <c r="L17" s="25">
        <v>8</v>
      </c>
      <c r="M17" s="26" t="s">
        <v>99</v>
      </c>
      <c r="N17" s="27">
        <f t="shared" si="0"/>
        <v>0</v>
      </c>
      <c r="O17" s="27">
        <f t="shared" si="1"/>
        <v>0</v>
      </c>
      <c r="P17" s="4">
        <f t="shared" si="2"/>
        <v>0</v>
      </c>
    </row>
    <row r="18" spans="1:16" s="11" customFormat="1" ht="51" customHeight="1" x14ac:dyDescent="0.25">
      <c r="A18" s="35">
        <v>12</v>
      </c>
      <c r="B18" s="36" t="s">
        <v>73</v>
      </c>
      <c r="C18" s="36" t="s">
        <v>61</v>
      </c>
      <c r="D18" s="37">
        <v>45945</v>
      </c>
      <c r="E18" s="36" t="s">
        <v>20</v>
      </c>
      <c r="F18" s="36" t="s">
        <v>35</v>
      </c>
      <c r="G18" s="36" t="s">
        <v>32</v>
      </c>
      <c r="H18" s="36" t="s">
        <v>84</v>
      </c>
      <c r="I18" s="36" t="s">
        <v>12</v>
      </c>
      <c r="J18" s="38" t="s">
        <v>114</v>
      </c>
      <c r="K18" s="11">
        <v>15</v>
      </c>
      <c r="L18" s="12">
        <v>9</v>
      </c>
      <c r="M18" s="15" t="s">
        <v>85</v>
      </c>
      <c r="N18" s="14">
        <f t="shared" si="0"/>
        <v>2</v>
      </c>
      <c r="O18" s="14">
        <f t="shared" si="1"/>
        <v>1</v>
      </c>
      <c r="P18" s="4">
        <f t="shared" si="2"/>
        <v>3</v>
      </c>
    </row>
    <row r="19" spans="1:16" s="11" customFormat="1" ht="51" customHeight="1" thickBot="1" x14ac:dyDescent="0.3">
      <c r="A19" s="35">
        <v>13</v>
      </c>
      <c r="B19" s="36" t="s">
        <v>73</v>
      </c>
      <c r="C19" s="36" t="s">
        <v>24</v>
      </c>
      <c r="D19" s="37">
        <v>45945</v>
      </c>
      <c r="E19" s="36" t="s">
        <v>20</v>
      </c>
      <c r="F19" s="36" t="s">
        <v>36</v>
      </c>
      <c r="G19" s="36" t="s">
        <v>100</v>
      </c>
      <c r="H19" s="36" t="s">
        <v>91</v>
      </c>
      <c r="I19" s="36" t="s">
        <v>12</v>
      </c>
      <c r="J19" s="38" t="s">
        <v>114</v>
      </c>
      <c r="L19" s="17">
        <v>10</v>
      </c>
      <c r="M19" s="18" t="s">
        <v>35</v>
      </c>
      <c r="N19" s="14">
        <f t="shared" si="0"/>
        <v>1</v>
      </c>
      <c r="O19" s="14">
        <f t="shared" si="1"/>
        <v>2</v>
      </c>
      <c r="P19" s="4">
        <f t="shared" si="2"/>
        <v>3</v>
      </c>
    </row>
    <row r="20" spans="1:16" s="11" customFormat="1" ht="51" customHeight="1" thickBot="1" x14ac:dyDescent="0.3">
      <c r="A20" s="35">
        <v>14</v>
      </c>
      <c r="B20" s="36" t="s">
        <v>49</v>
      </c>
      <c r="C20" s="36" t="s">
        <v>49</v>
      </c>
      <c r="D20" s="37">
        <v>45945</v>
      </c>
      <c r="E20" s="36" t="s">
        <v>20</v>
      </c>
      <c r="F20" s="36" t="s">
        <v>37</v>
      </c>
      <c r="G20" s="36" t="s">
        <v>88</v>
      </c>
      <c r="H20" s="36" t="s">
        <v>48</v>
      </c>
      <c r="I20" s="36" t="s">
        <v>12</v>
      </c>
      <c r="J20" s="38" t="s">
        <v>114</v>
      </c>
      <c r="L20" s="12">
        <v>11</v>
      </c>
      <c r="M20" s="18" t="s">
        <v>80</v>
      </c>
      <c r="N20" s="14">
        <f t="shared" si="0"/>
        <v>2</v>
      </c>
      <c r="O20" s="14">
        <f t="shared" si="1"/>
        <v>2</v>
      </c>
      <c r="P20" s="4">
        <f t="shared" si="2"/>
        <v>4</v>
      </c>
    </row>
    <row r="21" spans="1:16" s="11" customFormat="1" ht="51" customHeight="1" thickBot="1" x14ac:dyDescent="0.3">
      <c r="A21" s="35">
        <v>15</v>
      </c>
      <c r="B21" s="36" t="s">
        <v>50</v>
      </c>
      <c r="C21" s="36" t="s">
        <v>50</v>
      </c>
      <c r="D21" s="37">
        <v>45945</v>
      </c>
      <c r="E21" s="36" t="s">
        <v>20</v>
      </c>
      <c r="F21" s="36" t="s">
        <v>38</v>
      </c>
      <c r="G21" s="36" t="s">
        <v>87</v>
      </c>
      <c r="H21" s="36" t="s">
        <v>80</v>
      </c>
      <c r="I21" s="36" t="s">
        <v>12</v>
      </c>
      <c r="J21" s="38" t="s">
        <v>114</v>
      </c>
      <c r="K21" s="11">
        <v>15</v>
      </c>
      <c r="L21" s="17">
        <v>12</v>
      </c>
      <c r="M21" s="18" t="s">
        <v>82</v>
      </c>
      <c r="N21" s="14">
        <f t="shared" si="0"/>
        <v>1</v>
      </c>
      <c r="O21" s="14">
        <f t="shared" si="1"/>
        <v>1</v>
      </c>
      <c r="P21" s="4">
        <f t="shared" si="2"/>
        <v>2</v>
      </c>
    </row>
    <row r="22" spans="1:16" s="11" customFormat="1" ht="51" customHeight="1" thickBot="1" x14ac:dyDescent="0.3">
      <c r="A22" s="35">
        <v>16</v>
      </c>
      <c r="B22" s="36" t="s">
        <v>51</v>
      </c>
      <c r="C22" s="36" t="s">
        <v>74</v>
      </c>
      <c r="D22" s="37">
        <v>45945</v>
      </c>
      <c r="E22" s="36" t="s">
        <v>20</v>
      </c>
      <c r="F22" s="36" t="s">
        <v>39</v>
      </c>
      <c r="G22" s="36" t="s">
        <v>89</v>
      </c>
      <c r="H22" s="36" t="s">
        <v>35</v>
      </c>
      <c r="I22" s="36" t="s">
        <v>12</v>
      </c>
      <c r="J22" s="38" t="s">
        <v>114</v>
      </c>
      <c r="K22" s="11">
        <v>17</v>
      </c>
      <c r="L22" s="12">
        <v>13</v>
      </c>
      <c r="M22" s="18" t="s">
        <v>32</v>
      </c>
      <c r="N22" s="14">
        <f t="shared" si="0"/>
        <v>2</v>
      </c>
      <c r="O22" s="14">
        <f t="shared" si="1"/>
        <v>1</v>
      </c>
      <c r="P22" s="4">
        <f t="shared" si="2"/>
        <v>3</v>
      </c>
    </row>
    <row r="23" spans="1:16" s="5" customFormat="1" ht="51" customHeight="1" thickBot="1" x14ac:dyDescent="0.3">
      <c r="A23" s="35">
        <v>17</v>
      </c>
      <c r="B23" s="36" t="s">
        <v>110</v>
      </c>
      <c r="C23" s="36" t="s">
        <v>75</v>
      </c>
      <c r="D23" s="37">
        <v>45945</v>
      </c>
      <c r="E23" s="36" t="s">
        <v>20</v>
      </c>
      <c r="F23" s="36" t="s">
        <v>40</v>
      </c>
      <c r="G23" s="36" t="s">
        <v>91</v>
      </c>
      <c r="H23" s="36" t="s">
        <v>82</v>
      </c>
      <c r="I23" s="36" t="s">
        <v>12</v>
      </c>
      <c r="J23" s="38" t="s">
        <v>114</v>
      </c>
      <c r="K23" s="5">
        <v>15</v>
      </c>
      <c r="L23" s="17">
        <v>14</v>
      </c>
      <c r="M23" s="18" t="s">
        <v>47</v>
      </c>
      <c r="N23" s="14">
        <f t="shared" si="0"/>
        <v>1</v>
      </c>
      <c r="O23" s="14">
        <f t="shared" si="1"/>
        <v>1</v>
      </c>
      <c r="P23" s="4">
        <f t="shared" si="2"/>
        <v>2</v>
      </c>
    </row>
    <row r="24" spans="1:16" s="5" customFormat="1" ht="51" customHeight="1" thickBot="1" x14ac:dyDescent="0.3">
      <c r="A24" s="31">
        <v>18</v>
      </c>
      <c r="B24" s="32" t="s">
        <v>110</v>
      </c>
      <c r="C24" s="32" t="s">
        <v>52</v>
      </c>
      <c r="D24" s="33">
        <v>45946</v>
      </c>
      <c r="E24" s="32" t="s">
        <v>20</v>
      </c>
      <c r="F24" s="32" t="s">
        <v>113</v>
      </c>
      <c r="G24" s="32" t="s">
        <v>92</v>
      </c>
      <c r="H24" s="32" t="s">
        <v>89</v>
      </c>
      <c r="I24" s="32" t="s">
        <v>12</v>
      </c>
      <c r="J24" s="34" t="s">
        <v>114</v>
      </c>
      <c r="L24" s="12">
        <v>15</v>
      </c>
      <c r="M24" s="18" t="s">
        <v>90</v>
      </c>
      <c r="N24" s="14">
        <f t="shared" si="0"/>
        <v>1</v>
      </c>
      <c r="O24" s="14">
        <f t="shared" si="1"/>
        <v>1</v>
      </c>
      <c r="P24" s="4">
        <f t="shared" si="2"/>
        <v>2</v>
      </c>
    </row>
    <row r="25" spans="1:16" s="5" customFormat="1" ht="51" customHeight="1" thickBot="1" x14ac:dyDescent="0.3">
      <c r="A25" s="31">
        <v>19</v>
      </c>
      <c r="B25" s="32" t="s">
        <v>110</v>
      </c>
      <c r="C25" s="32" t="s">
        <v>53</v>
      </c>
      <c r="D25" s="33">
        <v>45946</v>
      </c>
      <c r="E25" s="32" t="s">
        <v>20</v>
      </c>
      <c r="F25" s="32" t="s">
        <v>41</v>
      </c>
      <c r="G25" s="32" t="s">
        <v>90</v>
      </c>
      <c r="H25" s="32" t="s">
        <v>100</v>
      </c>
      <c r="I25" s="32" t="s">
        <v>12</v>
      </c>
      <c r="J25" s="34" t="s">
        <v>114</v>
      </c>
      <c r="K25" s="5">
        <v>17</v>
      </c>
      <c r="L25" s="17">
        <v>16</v>
      </c>
      <c r="M25" s="18" t="s">
        <v>91</v>
      </c>
      <c r="N25" s="14">
        <f t="shared" si="0"/>
        <v>1</v>
      </c>
      <c r="O25" s="14">
        <f t="shared" si="1"/>
        <v>1</v>
      </c>
      <c r="P25" s="4">
        <f t="shared" si="2"/>
        <v>2</v>
      </c>
    </row>
    <row r="26" spans="1:16" s="5" customFormat="1" ht="51" customHeight="1" x14ac:dyDescent="0.25">
      <c r="A26" s="31">
        <v>20</v>
      </c>
      <c r="B26" s="32" t="s">
        <v>110</v>
      </c>
      <c r="C26" s="32" t="s">
        <v>25</v>
      </c>
      <c r="D26" s="33">
        <v>45946</v>
      </c>
      <c r="E26" s="32" t="s">
        <v>20</v>
      </c>
      <c r="F26" s="32" t="s">
        <v>42</v>
      </c>
      <c r="G26" s="32" t="s">
        <v>80</v>
      </c>
      <c r="H26" s="32" t="s">
        <v>101</v>
      </c>
      <c r="I26" s="32" t="s">
        <v>12</v>
      </c>
      <c r="J26" s="34" t="s">
        <v>114</v>
      </c>
      <c r="K26" s="5">
        <v>16</v>
      </c>
      <c r="L26" s="12">
        <v>17</v>
      </c>
      <c r="M26" s="6" t="s">
        <v>94</v>
      </c>
      <c r="N26" s="14">
        <f t="shared" si="0"/>
        <v>0</v>
      </c>
      <c r="O26" s="14">
        <f t="shared" si="1"/>
        <v>1</v>
      </c>
      <c r="P26" s="4">
        <f t="shared" si="2"/>
        <v>1</v>
      </c>
    </row>
    <row r="27" spans="1:16" s="5" customFormat="1" ht="51" customHeight="1" x14ac:dyDescent="0.25">
      <c r="A27" s="31">
        <v>21</v>
      </c>
      <c r="B27" s="32" t="s">
        <v>3</v>
      </c>
      <c r="C27" s="32" t="s">
        <v>54</v>
      </c>
      <c r="D27" s="33">
        <v>45946</v>
      </c>
      <c r="E27" s="32" t="s">
        <v>20</v>
      </c>
      <c r="F27" s="32" t="s">
        <v>40</v>
      </c>
      <c r="G27" s="32" t="s">
        <v>30</v>
      </c>
      <c r="H27" s="32" t="s">
        <v>48</v>
      </c>
      <c r="I27" s="32" t="s">
        <v>12</v>
      </c>
      <c r="J27" s="34" t="s">
        <v>114</v>
      </c>
      <c r="K27" s="5">
        <v>27</v>
      </c>
      <c r="L27" s="17">
        <v>18</v>
      </c>
      <c r="M27" s="19" t="s">
        <v>29</v>
      </c>
      <c r="N27" s="14">
        <f t="shared" si="0"/>
        <v>0</v>
      </c>
      <c r="O27" s="14">
        <f t="shared" si="1"/>
        <v>1</v>
      </c>
      <c r="P27" s="4">
        <f t="shared" si="2"/>
        <v>1</v>
      </c>
    </row>
    <row r="28" spans="1:16" s="5" customFormat="1" ht="51" customHeight="1" x14ac:dyDescent="0.25">
      <c r="A28" s="31">
        <v>22</v>
      </c>
      <c r="B28" s="32" t="s">
        <v>55</v>
      </c>
      <c r="C28" s="32" t="s">
        <v>55</v>
      </c>
      <c r="D28" s="33">
        <v>45946</v>
      </c>
      <c r="E28" s="32" t="s">
        <v>20</v>
      </c>
      <c r="F28" s="32" t="s">
        <v>43</v>
      </c>
      <c r="G28" s="32" t="s">
        <v>84</v>
      </c>
      <c r="H28" s="32" t="s">
        <v>85</v>
      </c>
      <c r="I28" s="32" t="s">
        <v>12</v>
      </c>
      <c r="J28" s="34" t="s">
        <v>114</v>
      </c>
      <c r="K28" s="5">
        <v>16</v>
      </c>
      <c r="L28" s="12">
        <v>19</v>
      </c>
      <c r="M28" s="19" t="s">
        <v>92</v>
      </c>
      <c r="N28" s="14">
        <f t="shared" si="0"/>
        <v>1</v>
      </c>
      <c r="O28" s="14">
        <f t="shared" si="1"/>
        <v>0</v>
      </c>
      <c r="P28" s="4">
        <f t="shared" si="2"/>
        <v>1</v>
      </c>
    </row>
    <row r="29" spans="1:16" s="5" customFormat="1" ht="51" customHeight="1" x14ac:dyDescent="0.25">
      <c r="A29" s="35">
        <v>23</v>
      </c>
      <c r="B29" s="36" t="s">
        <v>56</v>
      </c>
      <c r="C29" s="36" t="s">
        <v>57</v>
      </c>
      <c r="D29" s="37">
        <v>45947</v>
      </c>
      <c r="E29" s="36" t="s">
        <v>20</v>
      </c>
      <c r="F29" s="36" t="s">
        <v>44</v>
      </c>
      <c r="G29" s="36" t="s">
        <v>95</v>
      </c>
      <c r="H29" s="36" t="s">
        <v>83</v>
      </c>
      <c r="I29" s="36" t="s">
        <v>12</v>
      </c>
      <c r="J29" s="38" t="s">
        <v>114</v>
      </c>
      <c r="K29" s="5">
        <v>25</v>
      </c>
      <c r="L29" s="17">
        <v>20</v>
      </c>
      <c r="M29" s="19" t="s">
        <v>30</v>
      </c>
      <c r="N29" s="14">
        <f t="shared" si="0"/>
        <v>1</v>
      </c>
      <c r="O29" s="14">
        <f t="shared" si="1"/>
        <v>1</v>
      </c>
      <c r="P29" s="4">
        <f t="shared" si="2"/>
        <v>2</v>
      </c>
    </row>
    <row r="30" spans="1:16" s="5" customFormat="1" ht="51" customHeight="1" x14ac:dyDescent="0.25">
      <c r="A30" s="35">
        <v>24</v>
      </c>
      <c r="B30" s="36" t="s">
        <v>2</v>
      </c>
      <c r="C30" s="36" t="s">
        <v>76</v>
      </c>
      <c r="D30" s="37">
        <v>45947</v>
      </c>
      <c r="E30" s="36" t="s">
        <v>20</v>
      </c>
      <c r="F30" s="36" t="s">
        <v>45</v>
      </c>
      <c r="G30" s="36" t="s">
        <v>32</v>
      </c>
      <c r="H30" s="36" t="s">
        <v>80</v>
      </c>
      <c r="I30" s="36" t="s">
        <v>12</v>
      </c>
      <c r="J30" s="38" t="s">
        <v>114</v>
      </c>
      <c r="L30" s="12">
        <v>21</v>
      </c>
      <c r="M30" s="15" t="s">
        <v>100</v>
      </c>
      <c r="N30" s="14">
        <f t="shared" si="0"/>
        <v>1</v>
      </c>
      <c r="O30" s="14">
        <f t="shared" si="1"/>
        <v>1</v>
      </c>
      <c r="P30" s="4">
        <f t="shared" si="2"/>
        <v>2</v>
      </c>
    </row>
    <row r="31" spans="1:16" s="5" customFormat="1" ht="51" customHeight="1" x14ac:dyDescent="0.25">
      <c r="A31" s="35">
        <v>25</v>
      </c>
      <c r="B31" s="36" t="s">
        <v>58</v>
      </c>
      <c r="C31" s="36" t="s">
        <v>58</v>
      </c>
      <c r="D31" s="37">
        <v>45947</v>
      </c>
      <c r="E31" s="36" t="s">
        <v>20</v>
      </c>
      <c r="F31" s="36" t="s">
        <v>46</v>
      </c>
      <c r="G31" s="36" t="s">
        <v>96</v>
      </c>
      <c r="H31" s="36" t="s">
        <v>89</v>
      </c>
      <c r="I31" s="36" t="s">
        <v>12</v>
      </c>
      <c r="J31" s="38" t="s">
        <v>114</v>
      </c>
      <c r="L31" s="17">
        <v>22</v>
      </c>
      <c r="M31" s="19" t="s">
        <v>95</v>
      </c>
      <c r="N31" s="14">
        <f t="shared" si="0"/>
        <v>1</v>
      </c>
      <c r="O31" s="14">
        <f t="shared" si="1"/>
        <v>0</v>
      </c>
      <c r="P31" s="4">
        <f t="shared" si="2"/>
        <v>1</v>
      </c>
    </row>
    <row r="32" spans="1:16" s="5" customFormat="1" ht="51" customHeight="1" x14ac:dyDescent="0.25">
      <c r="A32" s="35">
        <v>26</v>
      </c>
      <c r="B32" s="36" t="s">
        <v>111</v>
      </c>
      <c r="C32" s="36" t="s">
        <v>59</v>
      </c>
      <c r="D32" s="37">
        <v>45947</v>
      </c>
      <c r="E32" s="36" t="s">
        <v>20</v>
      </c>
      <c r="F32" s="36" t="s">
        <v>47</v>
      </c>
      <c r="G32" s="36" t="s">
        <v>85</v>
      </c>
      <c r="H32" s="36" t="s">
        <v>86</v>
      </c>
      <c r="I32" s="36" t="s">
        <v>12</v>
      </c>
      <c r="J32" s="38" t="s">
        <v>114</v>
      </c>
      <c r="L32" s="12">
        <v>23</v>
      </c>
      <c r="M32" s="15" t="s">
        <v>101</v>
      </c>
      <c r="N32" s="14">
        <f t="shared" si="0"/>
        <v>0</v>
      </c>
      <c r="O32" s="14">
        <f t="shared" si="1"/>
        <v>1</v>
      </c>
      <c r="P32" s="4">
        <f t="shared" si="2"/>
        <v>1</v>
      </c>
    </row>
    <row r="33" spans="1:16" s="5" customFormat="1" ht="51" customHeight="1" thickBot="1" x14ac:dyDescent="0.3">
      <c r="A33" s="39">
        <v>27</v>
      </c>
      <c r="B33" s="40" t="s">
        <v>1</v>
      </c>
      <c r="C33" s="40" t="s">
        <v>60</v>
      </c>
      <c r="D33" s="44">
        <v>45947</v>
      </c>
      <c r="E33" s="40" t="s">
        <v>20</v>
      </c>
      <c r="F33" s="40" t="s">
        <v>48</v>
      </c>
      <c r="G33" s="40" t="s">
        <v>87</v>
      </c>
      <c r="H33" s="40"/>
      <c r="I33" s="40" t="s">
        <v>12</v>
      </c>
      <c r="J33" s="41" t="s">
        <v>114</v>
      </c>
      <c r="K33" s="89">
        <v>45972</v>
      </c>
      <c r="L33" s="17">
        <v>24</v>
      </c>
      <c r="M33" s="19" t="s">
        <v>83</v>
      </c>
      <c r="N33" s="14">
        <f t="shared" si="0"/>
        <v>1</v>
      </c>
      <c r="O33" s="14">
        <f t="shared" si="1"/>
        <v>1</v>
      </c>
      <c r="P33" s="4">
        <f t="shared" si="2"/>
        <v>2</v>
      </c>
    </row>
    <row r="34" spans="1:16" ht="40.5" customHeight="1" thickBot="1" x14ac:dyDescent="0.3">
      <c r="A34" s="75" t="s">
        <v>13</v>
      </c>
      <c r="B34" s="76"/>
      <c r="C34" s="76"/>
      <c r="D34" s="76"/>
      <c r="E34" s="76"/>
      <c r="F34" s="76"/>
      <c r="G34" s="76"/>
      <c r="H34" s="76"/>
      <c r="I34" s="76"/>
      <c r="J34" s="77"/>
      <c r="L34" s="17">
        <v>26</v>
      </c>
      <c r="M34" s="15" t="s">
        <v>87</v>
      </c>
      <c r="N34" s="14">
        <f t="shared" si="0"/>
        <v>2</v>
      </c>
      <c r="O34" s="14">
        <f t="shared" si="1"/>
        <v>1</v>
      </c>
      <c r="P34" s="4">
        <f t="shared" si="2"/>
        <v>3</v>
      </c>
    </row>
    <row r="35" spans="1:16" ht="35.1" customHeight="1" x14ac:dyDescent="0.25">
      <c r="A35" s="70" t="s">
        <v>107</v>
      </c>
      <c r="B35" s="71"/>
      <c r="C35" s="72" t="s">
        <v>14</v>
      </c>
      <c r="D35" s="72"/>
      <c r="E35" s="72"/>
      <c r="F35" s="52" t="s">
        <v>15</v>
      </c>
      <c r="G35" s="53"/>
      <c r="H35" s="54"/>
      <c r="I35" s="72" t="s">
        <v>16</v>
      </c>
      <c r="J35" s="73"/>
      <c r="M35" s="15" t="s">
        <v>89</v>
      </c>
      <c r="N35" s="14">
        <f t="shared" si="0"/>
        <v>2</v>
      </c>
      <c r="O35" s="14">
        <f t="shared" ref="O35" si="3" xml:space="preserve"> COUNTIF($H$7:$H$33,M35)</f>
        <v>3</v>
      </c>
      <c r="P35" s="4">
        <f t="shared" si="2"/>
        <v>5</v>
      </c>
    </row>
    <row r="36" spans="1:16" ht="35.1" customHeight="1" x14ac:dyDescent="0.25">
      <c r="A36" s="59" t="s">
        <v>17</v>
      </c>
      <c r="B36" s="60"/>
      <c r="C36" s="61"/>
      <c r="D36" s="61"/>
      <c r="E36" s="61"/>
      <c r="F36" s="55"/>
      <c r="G36" s="56"/>
      <c r="H36" s="57"/>
      <c r="I36" s="61"/>
      <c r="J36" s="74"/>
      <c r="N36" s="14">
        <f t="shared" si="0"/>
        <v>0</v>
      </c>
      <c r="O36" s="14">
        <f t="shared" ref="O36:O37" si="4" xml:space="preserve"> COUNTIF($H$7:$H$33,M36)</f>
        <v>0</v>
      </c>
      <c r="P36" s="4">
        <f t="shared" si="2"/>
        <v>0</v>
      </c>
    </row>
    <row r="37" spans="1:16" ht="35.1" customHeight="1" x14ac:dyDescent="0.25">
      <c r="A37" s="59" t="s">
        <v>18</v>
      </c>
      <c r="B37" s="60"/>
      <c r="C37" s="61" t="s">
        <v>80</v>
      </c>
      <c r="D37" s="61"/>
      <c r="E37" s="61"/>
      <c r="F37" s="55" t="s">
        <v>48</v>
      </c>
      <c r="G37" s="56"/>
      <c r="H37" s="57"/>
      <c r="I37" s="55" t="s">
        <v>48</v>
      </c>
      <c r="J37" s="62"/>
      <c r="M37" s="15" t="s">
        <v>86</v>
      </c>
      <c r="N37" s="14">
        <f t="shared" si="0"/>
        <v>1</v>
      </c>
      <c r="O37" s="14">
        <f t="shared" si="4"/>
        <v>1</v>
      </c>
      <c r="P37" s="4">
        <f t="shared" si="2"/>
        <v>2</v>
      </c>
    </row>
    <row r="38" spans="1:16" ht="35.1" customHeight="1" thickBot="1" x14ac:dyDescent="0.25">
      <c r="A38" s="63" t="s">
        <v>19</v>
      </c>
      <c r="B38" s="64"/>
      <c r="C38" s="65" t="s">
        <v>109</v>
      </c>
      <c r="D38" s="65"/>
      <c r="E38" s="65"/>
      <c r="F38" s="66" t="s">
        <v>108</v>
      </c>
      <c r="G38" s="68"/>
      <c r="H38" s="69"/>
      <c r="I38" s="66" t="s">
        <v>108</v>
      </c>
      <c r="J38" s="67"/>
    </row>
    <row r="39" spans="1:16" x14ac:dyDescent="0.2">
      <c r="A39" s="58"/>
      <c r="B39" s="58"/>
      <c r="C39" s="58"/>
    </row>
  </sheetData>
  <autoFilter ref="A6:J38" xr:uid="{00000000-0009-0000-0000-000000000000}"/>
  <mergeCells count="23">
    <mergeCell ref="C36:E36"/>
    <mergeCell ref="I36:J36"/>
    <mergeCell ref="A34:J34"/>
    <mergeCell ref="A1:B4"/>
    <mergeCell ref="C1:I2"/>
    <mergeCell ref="A5:J5"/>
    <mergeCell ref="F36:H36"/>
    <mergeCell ref="L8:N8"/>
    <mergeCell ref="C3:I4"/>
    <mergeCell ref="F35:H35"/>
    <mergeCell ref="F37:H37"/>
    <mergeCell ref="A39:C39"/>
    <mergeCell ref="A37:B37"/>
    <mergeCell ref="C37:E37"/>
    <mergeCell ref="I37:J37"/>
    <mergeCell ref="A38:B38"/>
    <mergeCell ref="C38:E38"/>
    <mergeCell ref="I38:J38"/>
    <mergeCell ref="F38:H38"/>
    <mergeCell ref="A35:B35"/>
    <mergeCell ref="C35:E35"/>
    <mergeCell ref="I35:J35"/>
    <mergeCell ref="A36:B36"/>
  </mergeCells>
  <phoneticPr fontId="11" type="noConversion"/>
  <conditionalFormatting sqref="L10:M25 L27:M35 L26">
    <cfRule type="duplicateValues" dxfId="9" priority="12"/>
  </conditionalFormatting>
  <conditionalFormatting sqref="L10:M35">
    <cfRule type="duplicateValues" dxfId="8" priority="3"/>
  </conditionalFormatting>
  <conditionalFormatting sqref="L10:M37">
    <cfRule type="duplicateValues" dxfId="7" priority="15"/>
  </conditionalFormatting>
  <conditionalFormatting sqref="M18">
    <cfRule type="duplicateValues" dxfId="6" priority="9"/>
  </conditionalFormatting>
  <conditionalFormatting sqref="M30">
    <cfRule type="duplicateValues" dxfId="5" priority="7"/>
  </conditionalFormatting>
  <conditionalFormatting sqref="M32">
    <cfRule type="duplicateValues" dxfId="4" priority="6"/>
  </conditionalFormatting>
  <conditionalFormatting sqref="M34">
    <cfRule type="duplicateValues" dxfId="3" priority="8"/>
  </conditionalFormatting>
  <conditionalFormatting sqref="M37">
    <cfRule type="duplicateValues" dxfId="2" priority="2"/>
  </conditionalFormatting>
  <conditionalFormatting sqref="N10:N37">
    <cfRule type="duplicateValues" dxfId="1" priority="11" stopIfTrue="1"/>
  </conditionalFormatting>
  <conditionalFormatting sqref="O10:O37">
    <cfRule type="duplicateValues" dxfId="0" priority="5" stopIfTrue="1"/>
  </conditionalFormatting>
  <printOptions horizontalCentered="1"/>
  <pageMargins left="0" right="0" top="0.39370078740157483" bottom="0" header="0" footer="0"/>
  <pageSetup paperSize="9" scale="45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123825</xdr:colOff>
                <xdr:row>0</xdr:row>
                <xdr:rowOff>66675</xdr:rowOff>
              </from>
              <to>
                <xdr:col>1</xdr:col>
                <xdr:colOff>1809750</xdr:colOff>
                <xdr:row>3</xdr:row>
                <xdr:rowOff>238125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Audit Plan &amp; Schedule</vt:lpstr>
      <vt:lpstr>'Audit Plan &amp; Schedule'!Print_Area</vt:lpstr>
      <vt:lpstr>'Audit Plan &amp; Schedule'!Print_Titles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2025-11-11T06:30:24Z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2021-05-28T10:26:04Z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aa10ae29-3811-481f-b099-85964dc47979</vt:lpwstr>
  </property>
  <property fmtid="{D5CDD505-2E9C-101B-9397-08002B2CF9AE}" pid="8" name="MSIP_Label_ced06422-c515-4a4e-a1f2-e6a0c0200eae_ContentBits">
    <vt:lpwstr>0</vt:lpwstr>
  </property>
</Properties>
</file>